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OLE CENTRE SOCIAL\Projets\Jeunesse\1. Dispositif Jeunesse\Argent de Poche\Argent de poche 2026\"/>
    </mc:Choice>
  </mc:AlternateContent>
  <bookViews>
    <workbookView xWindow="0" yWindow="0" windowWidth="21600" windowHeight="8970" tabRatio="713" activeTab="6"/>
  </bookViews>
  <sheets>
    <sheet name="BILAN" sheetId="13" r:id="rId1"/>
    <sheet name="RECAP.JEUNES.2026" sheetId="4" r:id="rId2"/>
    <sheet name="HIVER.RECAPJ" sheetId="5" state="hidden" r:id="rId3"/>
    <sheet name="HIVER.MISSION" sheetId="1" state="hidden" r:id="rId4"/>
    <sheet name="AVRIL.MISSIONS" sheetId="14" state="hidden" r:id="rId5"/>
    <sheet name="AVRIL.RECAPJ" sheetId="7" state="hidden" r:id="rId6"/>
    <sheet name="ETE.MISSION" sheetId="8" r:id="rId7"/>
    <sheet name="ETE.RECAPJ" sheetId="10" r:id="rId8"/>
    <sheet name="OCTOBRE.MISSION" sheetId="11" r:id="rId9"/>
    <sheet name="OCTOBRE.RECAPJ" sheetId="12" r:id="rId10"/>
  </sheets>
  <definedNames>
    <definedName name="_xlnm._FilterDatabase" localSheetId="5" hidden="1">AVRIL.RECAPJ!$B$3:$K$14</definedName>
    <definedName name="_xlnm._FilterDatabase" localSheetId="1" hidden="1">RECAP.JEUNES.2026!$B$5:$N$55</definedName>
  </definedNames>
  <calcPr calcId="162913"/>
</workbook>
</file>

<file path=xl/calcChain.xml><?xml version="1.0" encoding="utf-8"?>
<calcChain xmlns="http://schemas.openxmlformats.org/spreadsheetml/2006/main">
  <c r="M16" i="13" l="1"/>
  <c r="O15" i="13"/>
  <c r="G67" i="4"/>
  <c r="H67" i="4"/>
  <c r="I67" i="4"/>
  <c r="L66" i="4"/>
  <c r="K56" i="4"/>
  <c r="K57" i="4"/>
  <c r="K58" i="4"/>
  <c r="K59" i="4"/>
  <c r="K60" i="4"/>
  <c r="K61" i="4"/>
  <c r="K62" i="4"/>
  <c r="K63" i="4"/>
  <c r="K64" i="4"/>
  <c r="M56" i="4"/>
  <c r="M16" i="4" l="1"/>
  <c r="M52" i="4"/>
  <c r="M38" i="4" l="1"/>
  <c r="M34" i="4"/>
  <c r="I66" i="4"/>
  <c r="J66" i="4"/>
  <c r="H66" i="4"/>
  <c r="M27" i="4"/>
  <c r="M32" i="4"/>
  <c r="K45" i="4" l="1"/>
  <c r="K47" i="4"/>
  <c r="K20" i="4"/>
  <c r="K49" i="4"/>
  <c r="K12" i="4"/>
  <c r="K51" i="4"/>
  <c r="K28" i="4"/>
  <c r="K41" i="4"/>
  <c r="K42" i="4"/>
  <c r="K33" i="4"/>
  <c r="K53" i="4"/>
  <c r="K13" i="4"/>
  <c r="K15" i="4"/>
  <c r="K35" i="4"/>
  <c r="K19" i="4"/>
  <c r="K24" i="4"/>
  <c r="K36" i="4"/>
  <c r="K50" i="4"/>
  <c r="K37" i="4"/>
  <c r="G66" i="4" l="1"/>
  <c r="Y16" i="13" l="1"/>
  <c r="T16" i="13"/>
  <c r="M49" i="4" l="1"/>
  <c r="C7" i="13" l="1"/>
  <c r="C6" i="13"/>
  <c r="M37" i="4"/>
  <c r="L24" i="13" l="1"/>
  <c r="M24" i="13"/>
  <c r="J67" i="4"/>
  <c r="N24" i="13" s="1"/>
  <c r="K24" i="13"/>
  <c r="M53" i="4"/>
  <c r="M24" i="4"/>
  <c r="B11" i="5"/>
  <c r="B14" i="7"/>
  <c r="O24" i="13" l="1"/>
  <c r="H9" i="7"/>
  <c r="X16" i="13" l="1"/>
  <c r="W16" i="13"/>
  <c r="V16" i="13"/>
  <c r="U16" i="13"/>
  <c r="Y14" i="13"/>
  <c r="Y13" i="13"/>
  <c r="Y12" i="13"/>
  <c r="Y11" i="13"/>
  <c r="Y10" i="13"/>
  <c r="Y9" i="13"/>
  <c r="Y8" i="13"/>
  <c r="Y7" i="13"/>
  <c r="M28" i="4"/>
  <c r="H7" i="7" l="1"/>
  <c r="H4" i="7"/>
  <c r="H10" i="7"/>
  <c r="H11" i="7"/>
  <c r="H5" i="7"/>
  <c r="H6" i="7"/>
  <c r="H12" i="7"/>
  <c r="H13" i="7"/>
  <c r="O7" i="13" l="1"/>
  <c r="T7" i="13"/>
  <c r="O8" i="13"/>
  <c r="T8" i="13"/>
  <c r="O9" i="13"/>
  <c r="T9" i="13"/>
  <c r="O10" i="13"/>
  <c r="T10" i="13"/>
  <c r="O11" i="13"/>
  <c r="T11" i="13"/>
  <c r="O12" i="13"/>
  <c r="T12" i="13"/>
  <c r="O13" i="13"/>
  <c r="T13" i="13"/>
  <c r="O14" i="13"/>
  <c r="T14" i="13"/>
  <c r="K16" i="13"/>
  <c r="L16" i="13"/>
  <c r="N16" i="13"/>
  <c r="P16" i="13"/>
  <c r="Q16" i="13"/>
  <c r="R16" i="13"/>
  <c r="S16" i="13"/>
  <c r="O16" i="13" l="1"/>
  <c r="K20" i="13"/>
  <c r="M36" i="4"/>
  <c r="C25" i="13"/>
  <c r="K19" i="13" l="1"/>
  <c r="D23" i="13"/>
  <c r="K32" i="4"/>
  <c r="K27" i="4"/>
  <c r="K34" i="4"/>
  <c r="K38" i="4"/>
  <c r="K52" i="4"/>
  <c r="K16" i="4"/>
  <c r="M35" i="4"/>
  <c r="M17" i="4"/>
  <c r="M18" i="4"/>
  <c r="M20" i="4"/>
  <c r="M22" i="4"/>
  <c r="M23" i="4"/>
  <c r="M25" i="4"/>
  <c r="M26" i="4"/>
  <c r="M7" i="4"/>
  <c r="M29" i="4"/>
  <c r="M30" i="4"/>
  <c r="M31" i="4"/>
  <c r="M33" i="4"/>
  <c r="M39" i="4"/>
  <c r="M40" i="4"/>
  <c r="M41" i="4"/>
  <c r="M42" i="4"/>
  <c r="M9" i="4"/>
  <c r="M43" i="4"/>
  <c r="M8" i="4"/>
  <c r="M44" i="4"/>
  <c r="M6" i="4"/>
  <c r="M45" i="4"/>
  <c r="M46" i="4"/>
  <c r="M47" i="4"/>
  <c r="M48" i="4"/>
  <c r="M10" i="4"/>
  <c r="M54" i="4"/>
  <c r="M55" i="4"/>
  <c r="M21" i="4"/>
  <c r="M50" i="4"/>
  <c r="M13" i="4"/>
  <c r="M51" i="4"/>
  <c r="M11" i="4"/>
  <c r="M14" i="4"/>
  <c r="M15" i="4"/>
  <c r="M19" i="4"/>
  <c r="M12" i="4"/>
  <c r="E27" i="12"/>
  <c r="D27" i="12"/>
  <c r="C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27" i="12" s="1"/>
  <c r="H8" i="7"/>
  <c r="I8" i="7" s="1"/>
  <c r="I9" i="7"/>
  <c r="I7" i="7"/>
  <c r="I4" i="7"/>
  <c r="I10" i="7"/>
  <c r="I11" i="7"/>
  <c r="I5" i="7"/>
  <c r="I6" i="7"/>
  <c r="I12" i="7"/>
  <c r="I13" i="7"/>
  <c r="F14" i="7"/>
  <c r="G14" i="7"/>
  <c r="M66" i="4" l="1"/>
  <c r="H14" i="7"/>
  <c r="D7" i="13"/>
  <c r="D6" i="13"/>
  <c r="C13" i="13"/>
  <c r="C16" i="13"/>
  <c r="D16" i="13" s="1"/>
  <c r="I14" i="7"/>
  <c r="C12" i="13" l="1"/>
  <c r="D12" i="13" s="1"/>
  <c r="C14" i="13"/>
  <c r="C15" i="13"/>
  <c r="D15" i="13" s="1"/>
  <c r="D13" i="13"/>
  <c r="K11" i="4"/>
  <c r="K14" i="4"/>
  <c r="H5" i="5"/>
  <c r="H6" i="5"/>
  <c r="H8" i="5"/>
  <c r="H9" i="5"/>
  <c r="H10" i="5"/>
  <c r="H4" i="5"/>
  <c r="C17" i="13" l="1"/>
  <c r="D14" i="13"/>
  <c r="D17" i="13" s="1"/>
  <c r="K17" i="4"/>
  <c r="K18" i="4"/>
  <c r="K22" i="4"/>
  <c r="K23" i="4"/>
  <c r="K25" i="4"/>
  <c r="K26" i="4"/>
  <c r="K7" i="4"/>
  <c r="K29" i="4"/>
  <c r="K30" i="4"/>
  <c r="K31" i="4"/>
  <c r="K39" i="4"/>
  <c r="K40" i="4"/>
  <c r="K9" i="4"/>
  <c r="K43" i="4"/>
  <c r="K8" i="4"/>
  <c r="K44" i="4"/>
  <c r="K6" i="4"/>
  <c r="K46" i="4"/>
  <c r="K48" i="4"/>
  <c r="K10" i="4"/>
  <c r="K54" i="4"/>
  <c r="K55" i="4"/>
  <c r="K21" i="4"/>
  <c r="K67" i="4" l="1"/>
  <c r="K66" i="4"/>
  <c r="D24" i="13"/>
  <c r="G5" i="5"/>
  <c r="G6" i="5"/>
  <c r="G7" i="5"/>
  <c r="H7" i="5" s="1"/>
  <c r="G8" i="5"/>
  <c r="G9" i="5"/>
  <c r="G10" i="5"/>
  <c r="G4" i="5"/>
  <c r="D23" i="10" l="1"/>
  <c r="D24" i="10"/>
  <c r="D21" i="10"/>
  <c r="D22" i="10"/>
  <c r="D19" i="10" l="1"/>
  <c r="D25" i="10"/>
  <c r="D20" i="10"/>
  <c r="D13" i="10" l="1"/>
  <c r="D14" i="10"/>
  <c r="D15" i="10"/>
  <c r="D16" i="10"/>
  <c r="D17" i="10"/>
  <c r="D7" i="10" l="1"/>
  <c r="D6" i="10" l="1"/>
  <c r="D8" i="10"/>
  <c r="D9" i="10"/>
  <c r="D10" i="10"/>
  <c r="D11" i="10"/>
  <c r="D12" i="10"/>
  <c r="D18" i="10"/>
  <c r="D26" i="10"/>
  <c r="D5" i="10"/>
  <c r="C27" i="10" l="1"/>
  <c r="D27" i="10" l="1"/>
  <c r="D25" i="13" s="1"/>
  <c r="E25" i="13" s="1"/>
  <c r="D22" i="13" l="1"/>
  <c r="M30" i="1"/>
  <c r="D27" i="13" l="1"/>
  <c r="E27" i="13" s="1"/>
  <c r="D26" i="13"/>
  <c r="E26" i="13" s="1"/>
  <c r="F11" i="5"/>
  <c r="E11" i="5"/>
  <c r="G11" i="5" l="1"/>
  <c r="H11" i="5" l="1"/>
</calcChain>
</file>

<file path=xl/sharedStrings.xml><?xml version="1.0" encoding="utf-8"?>
<sst xmlns="http://schemas.openxmlformats.org/spreadsheetml/2006/main" count="1633" uniqueCount="449">
  <si>
    <t>Missions 2</t>
  </si>
  <si>
    <t>Missions 3</t>
  </si>
  <si>
    <t>Missions 4</t>
  </si>
  <si>
    <t>Missions 5</t>
  </si>
  <si>
    <t>date</t>
  </si>
  <si>
    <t>Service</t>
  </si>
  <si>
    <t>Mission</t>
  </si>
  <si>
    <t>heure</t>
  </si>
  <si>
    <t>candidature</t>
  </si>
  <si>
    <t xml:space="preserve">Lundi </t>
  </si>
  <si>
    <t>Lundi</t>
  </si>
  <si>
    <t xml:space="preserve">Mardi </t>
  </si>
  <si>
    <t>Mercredi</t>
  </si>
  <si>
    <t xml:space="preserve">Jeudi </t>
  </si>
  <si>
    <t xml:space="preserve">Vendredi </t>
  </si>
  <si>
    <t>Mardi</t>
  </si>
  <si>
    <t>Jeudi</t>
  </si>
  <si>
    <t>Date de naissance</t>
  </si>
  <si>
    <t>Hiver</t>
  </si>
  <si>
    <t>Été</t>
  </si>
  <si>
    <t>TOTAL</t>
  </si>
  <si>
    <t>A payer</t>
  </si>
  <si>
    <t xml:space="preserve">Nbre missions Semaine 1 </t>
  </si>
  <si>
    <t>Nbre missions Semaine 2</t>
  </si>
  <si>
    <t>Nbre de missions Total</t>
  </si>
  <si>
    <t>Automne</t>
  </si>
  <si>
    <t>Heure</t>
  </si>
  <si>
    <t>Candidature</t>
  </si>
  <si>
    <t>Jour</t>
  </si>
  <si>
    <t>PRE</t>
  </si>
  <si>
    <t>9h-12h</t>
  </si>
  <si>
    <t>Messager Rose</t>
  </si>
  <si>
    <t>Hiver 2025</t>
  </si>
  <si>
    <t>Gernigon Zélie</t>
  </si>
  <si>
    <t>Nombre de missions effectuées</t>
  </si>
  <si>
    <t>Derien Angele</t>
  </si>
  <si>
    <t>Vendredi</t>
  </si>
  <si>
    <t>Missions</t>
  </si>
  <si>
    <t>Jeune missionné</t>
  </si>
  <si>
    <t>lieu de RDV</t>
  </si>
  <si>
    <t>Référent</t>
  </si>
  <si>
    <t>Patrimoine</t>
  </si>
  <si>
    <t>retranscrire le sommaire des pays de Dinan</t>
  </si>
  <si>
    <t>mairie délégué Léhon</t>
  </si>
  <si>
    <t>14h-17h</t>
  </si>
  <si>
    <t>Thibault Bruneau</t>
  </si>
  <si>
    <t>Audrey-Louise Hanchard</t>
  </si>
  <si>
    <t>Contact</t>
  </si>
  <si>
    <t>horaires</t>
  </si>
  <si>
    <t>A-M</t>
  </si>
  <si>
    <t>Matin</t>
  </si>
  <si>
    <t>06.67.33.92.73</t>
  </si>
  <si>
    <t>02 96 87 40 49 / 07 60 55 16 07</t>
  </si>
  <si>
    <t xml:space="preserve">n° téléphone </t>
  </si>
  <si>
    <t xml:space="preserve">Paris Selma </t>
  </si>
  <si>
    <t xml:space="preserve">contact urgence </t>
  </si>
  <si>
    <t>Oillic Antonin</t>
  </si>
  <si>
    <t>Picart Eloi</t>
  </si>
  <si>
    <t>Bibliothèque</t>
  </si>
  <si>
    <t>Vie Asso</t>
  </si>
  <si>
    <t>5Bis</t>
  </si>
  <si>
    <t>CTM Léhon</t>
  </si>
  <si>
    <t>Attestations reçues ?</t>
  </si>
  <si>
    <t>Audrey-Louise</t>
  </si>
  <si>
    <t>Plestan Mondet Julie</t>
  </si>
  <si>
    <t>02.96.86.99.59</t>
  </si>
  <si>
    <t>07.69.04.86.78</t>
  </si>
  <si>
    <t>Réglain Henri</t>
  </si>
  <si>
    <t>Happe Charlotte</t>
  </si>
  <si>
    <t>Le Cadre Eloïse</t>
  </si>
  <si>
    <t>Péron Lili</t>
  </si>
  <si>
    <t>Richard Andréas</t>
  </si>
  <si>
    <t>Bacar Zihayri</t>
  </si>
  <si>
    <t>Jeunes missionnés en ETE 2025</t>
  </si>
  <si>
    <t>Nbre missions Juillet</t>
  </si>
  <si>
    <t>Nbre missions Aout</t>
  </si>
  <si>
    <t>07.81.18.05.34</t>
  </si>
  <si>
    <t>Poulain Lucas</t>
  </si>
  <si>
    <t>Cormier Quitterie</t>
  </si>
  <si>
    <t>mail</t>
  </si>
  <si>
    <t>qcormier22@gmail.com</t>
  </si>
  <si>
    <t>poulain29@icloud.com</t>
  </si>
  <si>
    <t>zacharia.bacar@laposte.net</t>
  </si>
  <si>
    <t>louisechmy@gmail.com</t>
  </si>
  <si>
    <t>henrireglain@gmail.com</t>
  </si>
  <si>
    <t>happecharlotte5@gmail.com</t>
  </si>
  <si>
    <t>lecadre.eloise.fr@gmail.com</t>
  </si>
  <si>
    <t>erwansophieperon@orange.fr</t>
  </si>
  <si>
    <t>plmondet.julie@gmail.com</t>
  </si>
  <si>
    <t>oderet@gmail.com</t>
  </si>
  <si>
    <t>selmaparis999@gmail.com</t>
  </si>
  <si>
    <t>oillic.celine@wanadoo.fr</t>
  </si>
  <si>
    <t>eloipicart@gmail.com</t>
  </si>
  <si>
    <t>rose.messager24@gmail.com</t>
  </si>
  <si>
    <t>Château de Dinan</t>
  </si>
  <si>
    <t>Alice Marec</t>
  </si>
  <si>
    <t>07 60 55 11 53</t>
  </si>
  <si>
    <t>06 58 26 59 06</t>
  </si>
  <si>
    <t>Zoé Hamelin</t>
  </si>
  <si>
    <t>Piriou Liz</t>
  </si>
  <si>
    <t xml:space="preserve">Brazilier Savary Tristan </t>
  </si>
  <si>
    <t>braztristan@gmail.com</t>
  </si>
  <si>
    <t>Diawara Ibrahim</t>
  </si>
  <si>
    <t>ibrahim12diawara@gmail.com</t>
  </si>
  <si>
    <t>liz.piriou@gmail.com</t>
  </si>
  <si>
    <t>BM</t>
  </si>
  <si>
    <t>Sophie Peron</t>
  </si>
  <si>
    <t>à payer</t>
  </si>
  <si>
    <t>envoyé aux Finances ?</t>
  </si>
  <si>
    <t>Ferre Ben Ali Jimmy</t>
  </si>
  <si>
    <t>Delepine Jade</t>
  </si>
  <si>
    <t>jade.delep@outlook.fr</t>
  </si>
  <si>
    <t>esthervarin@icloud.com</t>
  </si>
  <si>
    <t>cess.fa28@gmail.com</t>
  </si>
  <si>
    <t>lou.rallurich@icloud.com</t>
  </si>
  <si>
    <t>perigroberttropree@gmail.com</t>
  </si>
  <si>
    <t>mtay69@hotmail.com</t>
  </si>
  <si>
    <t>caleane.caron@gmail.com</t>
  </si>
  <si>
    <t>ok</t>
  </si>
  <si>
    <t>clemencericwu@gmail.com</t>
  </si>
  <si>
    <t xml:space="preserve">Varin Esther </t>
  </si>
  <si>
    <t>Couchat Julyann</t>
  </si>
  <si>
    <t xml:space="preserve">Rallu Richard Lou </t>
  </si>
  <si>
    <t xml:space="preserve">Robert-Tropree Perig </t>
  </si>
  <si>
    <t xml:space="preserve">Taylor Clarisse </t>
  </si>
  <si>
    <t>Caron Caléane</t>
  </si>
  <si>
    <t xml:space="preserve">Richaud Wujciak Clemence </t>
  </si>
  <si>
    <t xml:space="preserve">Rahain Noémie </t>
  </si>
  <si>
    <t>noemierahain@outlook.fr</t>
  </si>
  <si>
    <t>Cochard Célia</t>
  </si>
  <si>
    <t>celiacochard2@gmail.com</t>
  </si>
  <si>
    <t>06.62.75.20.87</t>
  </si>
  <si>
    <t>Louise Chameroy</t>
  </si>
  <si>
    <t>Célia Cochard</t>
  </si>
  <si>
    <t>h</t>
  </si>
  <si>
    <t>f</t>
  </si>
  <si>
    <t>âge</t>
  </si>
  <si>
    <t>%age</t>
  </si>
  <si>
    <t>14 ans</t>
  </si>
  <si>
    <t>15 ans</t>
  </si>
  <si>
    <t>16 ans</t>
  </si>
  <si>
    <t>17 ans</t>
  </si>
  <si>
    <t>Atelier 5BIS</t>
  </si>
  <si>
    <t>13h45-16h45</t>
  </si>
  <si>
    <t xml:space="preserve">Julie Plestant-Mondet </t>
  </si>
  <si>
    <t>inventaire rayon livres</t>
  </si>
  <si>
    <t>02 96 39 05 02</t>
  </si>
  <si>
    <t xml:space="preserve">07.64.02.71.84 </t>
  </si>
  <si>
    <t>Jeunes missionnés Hiver 2026</t>
  </si>
  <si>
    <t>Chameroy Leslé Louise</t>
  </si>
  <si>
    <t>Dylan Bridenne</t>
  </si>
  <si>
    <t>Pol ROBERT</t>
  </si>
  <si>
    <t>Emeline</t>
  </si>
  <si>
    <t>Liz Piriou changement avec mercredi</t>
  </si>
  <si>
    <t>Liz Piriou changement avec jeudi</t>
  </si>
  <si>
    <t>Atelier du 5 bis</t>
  </si>
  <si>
    <t>Nathalie</t>
  </si>
  <si>
    <t>Liz Piriou ANNULE MALADE</t>
  </si>
  <si>
    <t xml:space="preserve">Dylan Bridenne </t>
  </si>
  <si>
    <t>Pol Robert</t>
  </si>
  <si>
    <t>Robert Pol</t>
  </si>
  <si>
    <t>07.86.49.21.65</t>
  </si>
  <si>
    <t>Bertel-Cossé Heolig</t>
  </si>
  <si>
    <t>heolig.bertel@gmail.com</t>
  </si>
  <si>
    <t>Robert-Tropree Marig</t>
  </si>
  <si>
    <t>marigrt21@gmail.com</t>
  </si>
  <si>
    <t>Bridenne Dylan</t>
  </si>
  <si>
    <t>07.58.27.49.01</t>
  </si>
  <si>
    <t>shalemoussa@gmail.com</t>
  </si>
  <si>
    <t>06.80.17.26.42</t>
  </si>
  <si>
    <t>Bertrand Maël</t>
  </si>
  <si>
    <t>jpierre.bertrand@laposte.net</t>
  </si>
  <si>
    <t xml:space="preserve">Réel </t>
  </si>
  <si>
    <t>Bertrand Noan</t>
  </si>
  <si>
    <t>Prévisionnel</t>
  </si>
  <si>
    <t>pr7.robert75@gmail.com</t>
  </si>
  <si>
    <t>financement total</t>
  </si>
  <si>
    <t>part CAF</t>
  </si>
  <si>
    <t>part VILLE DINAN</t>
  </si>
  <si>
    <t>année d'inscription</t>
  </si>
  <si>
    <t>Caron Enora</t>
  </si>
  <si>
    <t>07 77 93 90 70</t>
  </si>
  <si>
    <t>07 88 02 14 26</t>
  </si>
  <si>
    <t>07 67 25 16 54</t>
  </si>
  <si>
    <t>07 81 18 05 34</t>
  </si>
  <si>
    <t>06 09 23 76 69</t>
  </si>
  <si>
    <t>06 08 88 59 45</t>
  </si>
  <si>
    <t>07 79 29 73 45</t>
  </si>
  <si>
    <t>06 68 60 40 49</t>
  </si>
  <si>
    <t>06 99 36 43 56</t>
  </si>
  <si>
    <t>07 66 69 24 19</t>
  </si>
  <si>
    <t>06 79 93 73 79</t>
  </si>
  <si>
    <t>07 75 77 30 50</t>
  </si>
  <si>
    <t>07 65 18 76 22</t>
  </si>
  <si>
    <t>06 71 45 39 23</t>
  </si>
  <si>
    <t>07 82 74 76 80</t>
  </si>
  <si>
    <t>06 79 42 34 38</t>
  </si>
  <si>
    <t>07 68 14 22 84</t>
  </si>
  <si>
    <t>06 35 35 87 13</t>
  </si>
  <si>
    <t>07 69 04 86 78</t>
  </si>
  <si>
    <t>07 49 47 43 45</t>
  </si>
  <si>
    <t>06 66 69 62 56</t>
  </si>
  <si>
    <t>06 24 69 40 51</t>
  </si>
  <si>
    <t>07 88 83 38 67</t>
  </si>
  <si>
    <t>06 61 56 54 82</t>
  </si>
  <si>
    <t>07 82 19 44 94</t>
  </si>
  <si>
    <t>07 86 09 44 12</t>
  </si>
  <si>
    <t>06 13 56 88 27</t>
  </si>
  <si>
    <t>07 48 45 59 31</t>
  </si>
  <si>
    <t>07 64 02 71 84</t>
  </si>
  <si>
    <t>07 86 49 21 65</t>
  </si>
  <si>
    <t>07 66 49 51 59</t>
  </si>
  <si>
    <t>06 49 52 62 73</t>
  </si>
  <si>
    <t>07 58 27 49 01</t>
  </si>
  <si>
    <t>06 44 90 63 79</t>
  </si>
  <si>
    <t>07 69 28 75 59</t>
  </si>
  <si>
    <t>06 75 75 97 86</t>
  </si>
  <si>
    <t>06 87 32 55 01</t>
  </si>
  <si>
    <t>06 95 36 61 75</t>
  </si>
  <si>
    <t>06 24 48 27 45</t>
  </si>
  <si>
    <t>06 35 12 57 10</t>
  </si>
  <si>
    <t>06 99 11 41 33</t>
  </si>
  <si>
    <t>06 15 17 61 99</t>
  </si>
  <si>
    <t>06 86 54 85 29</t>
  </si>
  <si>
    <t>07 83 81 18 24</t>
  </si>
  <si>
    <t>06 81 16 42 85</t>
  </si>
  <si>
    <t>06 81 21 90 75</t>
  </si>
  <si>
    <t>06 13 99 05 87</t>
  </si>
  <si>
    <t>06 50 70 38 58</t>
  </si>
  <si>
    <t>06 77 35 61 39</t>
  </si>
  <si>
    <t xml:space="preserve">06 82 38 14 73 </t>
  </si>
  <si>
    <t>06 18 01 78 80</t>
  </si>
  <si>
    <t>06 95 74 74 86</t>
  </si>
  <si>
    <t>06 78 34 31 45</t>
  </si>
  <si>
    <t>02 96 86 99 59</t>
  </si>
  <si>
    <t>06 82 31 98 14</t>
  </si>
  <si>
    <t>06 62 40 61 05</t>
  </si>
  <si>
    <t>06 79 82 43 30</t>
  </si>
  <si>
    <t>06 84 21 92 46</t>
  </si>
  <si>
    <t>06 61 96 47 95</t>
  </si>
  <si>
    <t>06 63 24 82 82</t>
  </si>
  <si>
    <t>06 86 70 22 55</t>
  </si>
  <si>
    <t>06 11 48 86 73</t>
  </si>
  <si>
    <t>06 73 00 02 75</t>
  </si>
  <si>
    <t>06 62 75 20 87</t>
  </si>
  <si>
    <t>07 82 03 58 86</t>
  </si>
  <si>
    <t>07 60 58 79 25</t>
  </si>
  <si>
    <t>06 80 17 26 42</t>
  </si>
  <si>
    <t>06 58 18 17 24</t>
  </si>
  <si>
    <t>07 82 52 39 05</t>
  </si>
  <si>
    <t>nanou.schaal@gmail.com</t>
  </si>
  <si>
    <t>Le Pottier Lilian</t>
  </si>
  <si>
    <t>07 60 56 71 79</t>
  </si>
  <si>
    <t>mazaninetti@yahoo.fr</t>
  </si>
  <si>
    <t>06 86 84 93 56</t>
  </si>
  <si>
    <t>Avril</t>
  </si>
  <si>
    <t>nb de jeunes missionés</t>
  </si>
  <si>
    <t>Age</t>
  </si>
  <si>
    <t>nb</t>
  </si>
  <si>
    <t>filles</t>
  </si>
  <si>
    <t xml:space="preserve">garçons </t>
  </si>
  <si>
    <t>18 ans</t>
  </si>
  <si>
    <t>Lebret Keliah</t>
  </si>
  <si>
    <t>07 44 75 66 55</t>
  </si>
  <si>
    <t>06 76 07 86 00</t>
  </si>
  <si>
    <t>H/F</t>
  </si>
  <si>
    <t>Nom Prénom</t>
  </si>
  <si>
    <t>nb de jeunes inscrits</t>
  </si>
  <si>
    <t>Date</t>
  </si>
  <si>
    <t>Horaires</t>
  </si>
  <si>
    <t>CVPatri</t>
  </si>
  <si>
    <t>préparation des ateliers jeune public / enquête de satisfaction</t>
  </si>
  <si>
    <t>Solène Gandanger</t>
  </si>
  <si>
    <t xml:space="preserve">Château de Dinan </t>
  </si>
  <si>
    <t>9h30-12h30</t>
  </si>
  <si>
    <t xml:space="preserve">Ranger la bibliothèque de l'école et plastifier des livres </t>
  </si>
  <si>
    <t>Ecole de la Ruche</t>
  </si>
  <si>
    <t>06 67 33 92 73</t>
  </si>
  <si>
    <t>Enfance</t>
  </si>
  <si>
    <t>Trier des jeux de société</t>
  </si>
  <si>
    <t>Ecole des Fontaines</t>
  </si>
  <si>
    <t>Scarlett</t>
  </si>
  <si>
    <t>06 98 11 85 24</t>
  </si>
  <si>
    <t xml:space="preserve">Les Jeunes </t>
  </si>
  <si>
    <t xml:space="preserve">Enfance </t>
  </si>
  <si>
    <t>Conservation et Valorisation du Pâtrimoine</t>
  </si>
  <si>
    <t>CTM</t>
  </si>
  <si>
    <t xml:space="preserve">Bibliothèque </t>
  </si>
  <si>
    <t>Nombre de missions proposées</t>
  </si>
  <si>
    <t>Services</t>
  </si>
  <si>
    <t>Centre social - Atelier du 5 bis</t>
  </si>
  <si>
    <t>Missions 
1/2</t>
  </si>
  <si>
    <t>Missions 
2/2</t>
  </si>
  <si>
    <t>Traitement des ouvrages retirés des collections</t>
  </si>
  <si>
    <t>Blandine / Ouriel</t>
  </si>
  <si>
    <t xml:space="preserve">02 96 39 51 16 </t>
  </si>
  <si>
    <t>1 jeune : 
Julie Plestan Mondet</t>
  </si>
  <si>
    <t>Missions Argent de poche</t>
  </si>
  <si>
    <t>Récapitulatif Jeunes Argent de Poche 2026</t>
  </si>
  <si>
    <t xml:space="preserve">2 jeunes :
- COUCHAT Julyann </t>
  </si>
  <si>
    <t xml:space="preserve">2 jeunes : 
- COUCHAT Julyann </t>
  </si>
  <si>
    <t xml:space="preserve">1 jeune : 
- COUCHAT Julyann </t>
  </si>
  <si>
    <t xml:space="preserve">1 jeune : 
 - Pol Robert </t>
  </si>
  <si>
    <t>1 jeune : 
- Eloise Le Cadre</t>
  </si>
  <si>
    <t>2 jeunes :
-Keliah Le Bret
- Eloise Le Cadre</t>
  </si>
  <si>
    <t>2 jeunes : 
- Eloise Le Cadre 
- Liz Piriou</t>
  </si>
  <si>
    <t>2 jeunes :
- Lili Peron 
- Maël Bertrand</t>
  </si>
  <si>
    <t>Jeunes missionnés en AVRIL 2026</t>
  </si>
  <si>
    <t xml:space="preserve">Peron Lili </t>
  </si>
  <si>
    <t>07 76 18 28 60</t>
  </si>
  <si>
    <t>Juillet</t>
  </si>
  <si>
    <t>FERIE</t>
  </si>
  <si>
    <t xml:space="preserve">AOUT </t>
  </si>
  <si>
    <t>nombre de jeunes missionnés</t>
  </si>
  <si>
    <t>Jeunes missionnés - été 2026</t>
  </si>
  <si>
    <t>octobre</t>
  </si>
  <si>
    <t>bangurafareed4@gmail.com</t>
  </si>
  <si>
    <t>06 03 31 30 04</t>
  </si>
  <si>
    <t>nb de missions réalisées</t>
  </si>
  <si>
    <t>Nombre de missions distribuées</t>
  </si>
  <si>
    <t>Pourcentage de missions distribuées</t>
  </si>
  <si>
    <t>Pourcentage de missions effectuées</t>
  </si>
  <si>
    <t>1 jeune  : 
- Liz Piriou</t>
  </si>
  <si>
    <t>Envoyé aux Finances ?</t>
  </si>
  <si>
    <t xml:space="preserve">évolution </t>
  </si>
  <si>
    <t>De Schrooder Mei-Lï</t>
  </si>
  <si>
    <t>cora_lee@live.fr</t>
  </si>
  <si>
    <t>06 65 53 27 19</t>
  </si>
  <si>
    <t>Smith Lefebvre Liz</t>
  </si>
  <si>
    <t>bgirlbarcelona@gmail.com</t>
  </si>
  <si>
    <t>07 88 07 14 36</t>
  </si>
  <si>
    <t>06 70 07 37 78</t>
  </si>
  <si>
    <t>TOTAL des missions</t>
  </si>
  <si>
    <t>TOTAL des jeunes missionnés</t>
  </si>
  <si>
    <t>Loquet Nathan</t>
  </si>
  <si>
    <t>zicannemaria@yahoo.fr</t>
  </si>
  <si>
    <t>06 21 30 65 55</t>
  </si>
  <si>
    <t>06 51 75 86 59</t>
  </si>
  <si>
    <t>Robert Eugénie</t>
  </si>
  <si>
    <t>eugenie.robert1@icloud.com</t>
  </si>
  <si>
    <t>06 62 21 10 61</t>
  </si>
  <si>
    <t>06 10 45 43 26</t>
  </si>
  <si>
    <t>11h30-14h30</t>
  </si>
  <si>
    <t>14h30-17h30</t>
  </si>
  <si>
    <t>enquête satisfaction auprès des visiteurs du château + aide à la préparation des ateliers pédagogiques</t>
  </si>
  <si>
    <t>Naïla Jehan</t>
  </si>
  <si>
    <t>02 96 39 45 20</t>
  </si>
  <si>
    <t>Conservation et Valorisation des Patirmoines</t>
  </si>
  <si>
    <t>Rangement bibliothèque, Couvrir des Livres</t>
  </si>
  <si>
    <t>École de la Ruche</t>
  </si>
  <si>
    <t>Audrey-louise</t>
  </si>
  <si>
    <t>Enfance / Éducation</t>
  </si>
  <si>
    <t>Plastifier, découper jeux club coup de pouce</t>
  </si>
  <si>
    <t>9H à 12H</t>
  </si>
  <si>
    <t>Service RH 2ème étage du 5 rue Gambetta, bureau de C. Doualan disponible</t>
  </si>
  <si>
    <t>Bénédicte MEYER</t>
  </si>
  <si>
    <t>RH</t>
  </si>
  <si>
    <t>02 96 87 40 56</t>
  </si>
  <si>
    <t xml:space="preserve">Inventaire et nettoyage de la cuisine </t>
  </si>
  <si>
    <t>Nathalie Leroy</t>
  </si>
  <si>
    <t>02 96 39 38 21</t>
  </si>
  <si>
    <t>Centre social</t>
  </si>
  <si>
    <t>13h-16h</t>
  </si>
  <si>
    <t>16h-19h</t>
  </si>
  <si>
    <t>50 ans Centre social : aide à l'installation et animation de stand</t>
  </si>
  <si>
    <t>Noémie Gamblin</t>
  </si>
  <si>
    <t>Ressources humaines</t>
  </si>
  <si>
    <t>Finances</t>
  </si>
  <si>
    <t>50 ans Centre social : animation de stand et aide à la désinstallation</t>
  </si>
  <si>
    <t>nettoyage des voitures 5 bis + local velo</t>
  </si>
  <si>
    <t>Centre social - Atelier du 5bis</t>
  </si>
  <si>
    <t xml:space="preserve">registres des impayés - siasies de données excel </t>
  </si>
  <si>
    <t>Service finances 2e étage 5 rue Gambetta</t>
  </si>
  <si>
    <t xml:space="preserve">Nelly Plessis </t>
  </si>
  <si>
    <t>07 64 45 33 86</t>
  </si>
  <si>
    <t xml:space="preserve">Finances </t>
  </si>
  <si>
    <t xml:space="preserve">registres des impayés - recherches de données et envoie de mail </t>
  </si>
  <si>
    <t>9h30 - 12h30</t>
  </si>
  <si>
    <t>Rangement / désherbage</t>
  </si>
  <si>
    <t>Maï Goupil</t>
  </si>
  <si>
    <t>Tri des revues pour le désherbage et  la braderie</t>
  </si>
  <si>
    <t>Bibliothèque (entrée du personnel)</t>
  </si>
  <si>
    <t>Sophie Péron</t>
  </si>
  <si>
    <t>Bibliothèque / Culture</t>
  </si>
  <si>
    <t>Traitement des revues pour la braderie et fabrication d'enveloppes pour la grainothèque</t>
  </si>
  <si>
    <t>Ouriel Vallois</t>
  </si>
  <si>
    <t>Traitement pour braderie</t>
  </si>
  <si>
    <t>Karine FLUCHAIRE</t>
  </si>
  <si>
    <t>CULTURE</t>
  </si>
  <si>
    <t>02 96 39 22 43</t>
  </si>
  <si>
    <t>Missions 
1/3</t>
  </si>
  <si>
    <t>Missions 
2/3</t>
  </si>
  <si>
    <t>Missions 
3/3</t>
  </si>
  <si>
    <t>Classement, saisie de données, Impression</t>
  </si>
  <si>
    <t>Lacoque Capucine</t>
  </si>
  <si>
    <t>clacoque@icloud.com</t>
  </si>
  <si>
    <t>06 74 03 34 97</t>
  </si>
  <si>
    <t>06 88 48 86 17</t>
  </si>
  <si>
    <t>Dupont Celena</t>
  </si>
  <si>
    <t>mimi91230@msn.com</t>
  </si>
  <si>
    <t>06 75 02 56 64</t>
  </si>
  <si>
    <t>06 28 47 63 31</t>
  </si>
  <si>
    <t>Le Couster Lison</t>
  </si>
  <si>
    <t>lecousterlison@gmail.com</t>
  </si>
  <si>
    <t>07 81 14 38 07</t>
  </si>
  <si>
    <t>06 63 83 55 31</t>
  </si>
  <si>
    <t xml:space="preserve">Fareed Bangura Alhaji </t>
  </si>
  <si>
    <t>Menec Yuna</t>
  </si>
  <si>
    <t>yuyumen22@gmail.com</t>
  </si>
  <si>
    <t>06 37 22 17 31</t>
  </si>
  <si>
    <t>06 75 36 90 51</t>
  </si>
  <si>
    <t>1 - Dupont Céléna</t>
  </si>
  <si>
    <t>1. Alexia Salliou</t>
  </si>
  <si>
    <t>1. Liz Smith Lefebvre</t>
  </si>
  <si>
    <t>1.  Kaïna Bourlet</t>
  </si>
  <si>
    <t xml:space="preserve">1. </t>
  </si>
  <si>
    <t>2.  Kaïna Bourlet
Alexia Salliou</t>
  </si>
  <si>
    <t>sallioudoalto.alexia@gmail.com</t>
  </si>
  <si>
    <t>06 95 83 11 17</t>
  </si>
  <si>
    <t>06 73 16 76 61</t>
  </si>
  <si>
    <t>saby-22@live.fr</t>
  </si>
  <si>
    <t>06 79 63 91 13</t>
  </si>
  <si>
    <t xml:space="preserve">Salliou Alexia </t>
  </si>
  <si>
    <t xml:space="preserve">Bourlet Kaïna </t>
  </si>
  <si>
    <t xml:space="preserve">2. </t>
  </si>
  <si>
    <t>1. Dupont Céléna</t>
  </si>
  <si>
    <t>2. Robert-Tropree Marig</t>
  </si>
  <si>
    <t>2. Dupont Céléna 
Robert-Tropree Marig</t>
  </si>
  <si>
    <t>Brindejonc-Regnault Noam</t>
  </si>
  <si>
    <t>06 65 29 96 48</t>
  </si>
  <si>
    <t>06 63 11 48 04</t>
  </si>
  <si>
    <t>noambrindejoncregnault1415@gmail.com</t>
  </si>
  <si>
    <t>2. Brindejonc Noam
Nathanb Loquet</t>
  </si>
  <si>
    <t>1. Noam Brindejonc</t>
  </si>
  <si>
    <t xml:space="preserve">1. Nathan Loquet </t>
  </si>
  <si>
    <t>1. Nathan Loquet</t>
  </si>
  <si>
    <t>9h - 12h</t>
  </si>
  <si>
    <t>Classement, archivage</t>
  </si>
  <si>
    <t>MDA</t>
  </si>
  <si>
    <t>Béatrice Pilard</t>
  </si>
  <si>
    <t>02.96.87.14.60</t>
  </si>
  <si>
    <t>Vie asso et sports</t>
  </si>
  <si>
    <t>1 . Noam Brindejonc</t>
  </si>
  <si>
    <t>Vie Asso et sport</t>
  </si>
  <si>
    <t>9h -12h</t>
  </si>
  <si>
    <t>Signalétique forum</t>
  </si>
  <si>
    <t>Audrey Rebours</t>
  </si>
  <si>
    <t>1. Kaïna Bourlet</t>
  </si>
  <si>
    <t>2. Noam Brindejonc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</si>
</sst>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d/m;@"/>
    <numFmt numFmtId="165" formatCode="#,##0.00\ &quot;€&quot;"/>
    <numFmt numFmtId="166" formatCode="[$-F800]dddd\,\ mmmm\ dd"/>
  </numFmts>
  <fonts count="25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Fontin Sans Rg"/>
      <family val="3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Bahnschrift SemiBold SemiConden"/>
      <family val="2"/>
    </font>
    <font>
      <sz val="11"/>
      <color theme="1" tint="4.9989318521683403E-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theme="1" tint="4.9989318521683403E-2"/>
      <name val="Bahnschrift SemiBold"/>
      <family val="2"/>
    </font>
    <font>
      <b/>
      <sz val="14"/>
      <color theme="1"/>
      <name val="Bahnschrift SemiCondensed"/>
      <family val="2"/>
    </font>
    <font>
      <sz val="24"/>
      <color theme="1"/>
      <name val="Calibri"/>
      <family val="2"/>
      <scheme val="minor"/>
    </font>
    <font>
      <b/>
      <sz val="28"/>
      <color theme="1"/>
      <name val="Bahnschrift Light SemiCondensed"/>
      <family val="2"/>
    </font>
    <font>
      <sz val="11"/>
      <name val="Maven Pro"/>
    </font>
  </fonts>
  <fills count="1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</fills>
  <borders count="7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4" fontId="6" fillId="0" borderId="0" applyFont="0" applyFill="0" applyBorder="0" applyAlignment="0" applyProtection="0"/>
    <xf numFmtId="0" fontId="14" fillId="0" borderId="0" applyNumberForma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506">
    <xf numFmtId="0" fontId="0" fillId="0" borderId="0" xfId="0"/>
    <xf numFmtId="164" fontId="0" fillId="0" borderId="0" xfId="0" applyNumberFormat="1"/>
    <xf numFmtId="0" fontId="2" fillId="0" borderId="0" xfId="0" applyFont="1"/>
    <xf numFmtId="0" fontId="0" fillId="0" borderId="2" xfId="0" applyFill="1" applyBorder="1"/>
    <xf numFmtId="0" fontId="0" fillId="0" borderId="2" xfId="0" applyFill="1" applyBorder="1" applyAlignment="1">
      <alignment horizontal="center"/>
    </xf>
    <xf numFmtId="0" fontId="0" fillId="0" borderId="0" xfId="0" applyFill="1" applyBorder="1"/>
    <xf numFmtId="0" fontId="0" fillId="0" borderId="18" xfId="0" applyFill="1" applyBorder="1"/>
    <xf numFmtId="0" fontId="0" fillId="0" borderId="9" xfId="0" applyFill="1" applyBorder="1"/>
    <xf numFmtId="0" fontId="0" fillId="0" borderId="0" xfId="0" applyFill="1"/>
    <xf numFmtId="0" fontId="0" fillId="0" borderId="16" xfId="0" applyFill="1" applyBorder="1"/>
    <xf numFmtId="0" fontId="0" fillId="0" borderId="2" xfId="0" applyFill="1" applyBorder="1" applyAlignment="1">
      <alignment horizontal="center" vertical="center"/>
    </xf>
    <xf numFmtId="14" fontId="0" fillId="0" borderId="17" xfId="0" applyNumberFormat="1" applyFill="1" applyBorder="1"/>
    <xf numFmtId="0" fontId="0" fillId="5" borderId="30" xfId="0" applyFill="1" applyBorder="1"/>
    <xf numFmtId="0" fontId="0" fillId="5" borderId="35" xfId="0" applyFill="1" applyBorder="1"/>
    <xf numFmtId="0" fontId="4" fillId="0" borderId="2" xfId="0" applyFont="1" applyFill="1" applyBorder="1" applyAlignment="1">
      <alignment horizontal="center" vertical="center"/>
    </xf>
    <xf numFmtId="0" fontId="0" fillId="0" borderId="15" xfId="0" applyNumberFormat="1" applyFill="1" applyBorder="1" applyAlignment="1">
      <alignment horizontal="center"/>
    </xf>
    <xf numFmtId="0" fontId="0" fillId="0" borderId="9" xfId="0" applyNumberFormat="1" applyFill="1" applyBorder="1" applyAlignment="1">
      <alignment horizontal="center"/>
    </xf>
    <xf numFmtId="49" fontId="0" fillId="0" borderId="0" xfId="0" applyNumberFormat="1"/>
    <xf numFmtId="0" fontId="4" fillId="2" borderId="2" xfId="0" applyFont="1" applyFill="1" applyBorder="1"/>
    <xf numFmtId="0" fontId="1" fillId="2" borderId="2" xfId="0" applyFont="1" applyFill="1" applyBorder="1"/>
    <xf numFmtId="0" fontId="0" fillId="2" borderId="2" xfId="0" applyFill="1" applyBorder="1"/>
    <xf numFmtId="0" fontId="4" fillId="7" borderId="2" xfId="0" applyFont="1" applyFill="1" applyBorder="1"/>
    <xf numFmtId="0" fontId="1" fillId="7" borderId="2" xfId="0" applyFont="1" applyFill="1" applyBorder="1"/>
    <xf numFmtId="0" fontId="0" fillId="7" borderId="2" xfId="0" applyFill="1" applyBorder="1"/>
    <xf numFmtId="0" fontId="4" fillId="4" borderId="2" xfId="0" applyFont="1" applyFill="1" applyBorder="1"/>
    <xf numFmtId="0" fontId="4" fillId="6" borderId="2" xfId="0" applyFont="1" applyFill="1" applyBorder="1"/>
    <xf numFmtId="0" fontId="4" fillId="4" borderId="2" xfId="0" applyFont="1" applyFill="1" applyBorder="1" applyAlignment="1">
      <alignment horizontal="center"/>
    </xf>
    <xf numFmtId="49" fontId="4" fillId="4" borderId="2" xfId="0" applyNumberFormat="1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0" fillId="7" borderId="2" xfId="0" applyFont="1" applyFill="1" applyBorder="1"/>
    <xf numFmtId="0" fontId="0" fillId="11" borderId="0" xfId="0" applyFill="1"/>
    <xf numFmtId="0" fontId="7" fillId="0" borderId="2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9" fillId="9" borderId="2" xfId="0" applyFont="1" applyFill="1" applyBorder="1" applyAlignment="1">
      <alignment horizontal="center" vertical="center"/>
    </xf>
    <xf numFmtId="0" fontId="11" fillId="0" borderId="24" xfId="0" applyFont="1" applyBorder="1" applyAlignment="1">
      <alignment horizontal="center"/>
    </xf>
    <xf numFmtId="0" fontId="11" fillId="4" borderId="32" xfId="0" applyFont="1" applyFill="1" applyBorder="1" applyAlignment="1">
      <alignment horizontal="center"/>
    </xf>
    <xf numFmtId="49" fontId="11" fillId="4" borderId="32" xfId="0" applyNumberFormat="1" applyFont="1" applyFill="1" applyBorder="1" applyAlignment="1">
      <alignment horizontal="center"/>
    </xf>
    <xf numFmtId="0" fontId="11" fillId="4" borderId="37" xfId="0" applyFont="1" applyFill="1" applyBorder="1" applyAlignment="1">
      <alignment horizontal="center"/>
    </xf>
    <xf numFmtId="0" fontId="11" fillId="6" borderId="28" xfId="0" applyFont="1" applyFill="1" applyBorder="1" applyAlignment="1">
      <alignment horizontal="center"/>
    </xf>
    <xf numFmtId="0" fontId="11" fillId="6" borderId="5" xfId="0" applyFont="1" applyFill="1" applyBorder="1" applyAlignment="1">
      <alignment horizontal="center"/>
    </xf>
    <xf numFmtId="49" fontId="11" fillId="6" borderId="5" xfId="0" applyNumberFormat="1" applyFont="1" applyFill="1" applyBorder="1" applyAlignment="1">
      <alignment horizontal="center"/>
    </xf>
    <xf numFmtId="0" fontId="11" fillId="6" borderId="29" xfId="0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0" fontId="11" fillId="7" borderId="5" xfId="0" applyFont="1" applyFill="1" applyBorder="1" applyAlignment="1">
      <alignment horizontal="center"/>
    </xf>
    <xf numFmtId="49" fontId="11" fillId="7" borderId="5" xfId="0" applyNumberFormat="1" applyFont="1" applyFill="1" applyBorder="1" applyAlignment="1">
      <alignment horizontal="center"/>
    </xf>
    <xf numFmtId="0" fontId="11" fillId="7" borderId="11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49" fontId="11" fillId="2" borderId="5" xfId="0" applyNumberFormat="1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 vertical="center" wrapText="1"/>
    </xf>
    <xf numFmtId="49" fontId="9" fillId="9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 vertical="center" wrapText="1"/>
    </xf>
    <xf numFmtId="49" fontId="4" fillId="9" borderId="2" xfId="0" applyNumberFormat="1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0" fillId="5" borderId="42" xfId="0" applyFill="1" applyBorder="1"/>
    <xf numFmtId="0" fontId="0" fillId="0" borderId="9" xfId="0" applyFill="1" applyBorder="1" applyAlignment="1">
      <alignment horizontal="center" vertical="center"/>
    </xf>
    <xf numFmtId="0" fontId="0" fillId="0" borderId="9" xfId="0" applyFill="1" applyBorder="1" applyAlignment="1">
      <alignment horizontal="center"/>
    </xf>
    <xf numFmtId="14" fontId="0" fillId="0" borderId="46" xfId="0" applyNumberFormat="1" applyFill="1" applyBorder="1"/>
    <xf numFmtId="0" fontId="9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164" fontId="11" fillId="0" borderId="19" xfId="0" applyNumberFormat="1" applyFont="1" applyBorder="1" applyAlignment="1">
      <alignment horizontal="center"/>
    </xf>
    <xf numFmtId="0" fontId="9" fillId="9" borderId="52" xfId="0" applyFont="1" applyFill="1" applyBorder="1" applyAlignment="1">
      <alignment horizontal="center" vertical="center"/>
    </xf>
    <xf numFmtId="49" fontId="9" fillId="9" borderId="48" xfId="0" applyNumberFormat="1" applyFont="1" applyFill="1" applyBorder="1" applyAlignment="1">
      <alignment horizontal="center" vertical="center"/>
    </xf>
    <xf numFmtId="0" fontId="11" fillId="9" borderId="23" xfId="0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49" fontId="11" fillId="9" borderId="6" xfId="0" applyNumberFormat="1" applyFont="1" applyFill="1" applyBorder="1" applyAlignment="1">
      <alignment horizontal="center"/>
    </xf>
    <xf numFmtId="0" fontId="11" fillId="9" borderId="40" xfId="0" applyFont="1" applyFill="1" applyBorder="1" applyAlignment="1">
      <alignment horizontal="center"/>
    </xf>
    <xf numFmtId="0" fontId="11" fillId="4" borderId="5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4" fillId="9" borderId="46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 wrapText="1"/>
    </xf>
    <xf numFmtId="0" fontId="9" fillId="9" borderId="10" xfId="0" applyFont="1" applyFill="1" applyBorder="1" applyAlignment="1">
      <alignment horizontal="center" vertical="center" wrapText="1"/>
    </xf>
    <xf numFmtId="0" fontId="9" fillId="9" borderId="54" xfId="0" applyFont="1" applyFill="1" applyBorder="1" applyAlignment="1">
      <alignment horizontal="center" vertical="center" wrapText="1"/>
    </xf>
    <xf numFmtId="49" fontId="9" fillId="9" borderId="54" xfId="0" applyNumberFormat="1" applyFont="1" applyFill="1" applyBorder="1" applyAlignment="1">
      <alignment horizontal="center" vertical="center"/>
    </xf>
    <xf numFmtId="0" fontId="0" fillId="0" borderId="15" xfId="0" applyFill="1" applyBorder="1"/>
    <xf numFmtId="0" fontId="0" fillId="0" borderId="16" xfId="0" applyNumberForma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49" fontId="11" fillId="9" borderId="55" xfId="0" applyNumberFormat="1" applyFont="1" applyFill="1" applyBorder="1" applyAlignment="1">
      <alignment horizontal="center"/>
    </xf>
    <xf numFmtId="49" fontId="9" fillId="9" borderId="56" xfId="0" applyNumberFormat="1" applyFont="1" applyFill="1" applyBorder="1" applyAlignment="1">
      <alignment horizontal="center" vertical="center"/>
    </xf>
    <xf numFmtId="49" fontId="4" fillId="9" borderId="18" xfId="0" applyNumberFormat="1" applyFont="1" applyFill="1" applyBorder="1" applyAlignment="1">
      <alignment horizontal="center" vertical="center" wrapText="1"/>
    </xf>
    <xf numFmtId="0" fontId="4" fillId="9" borderId="18" xfId="0" applyFont="1" applyFill="1" applyBorder="1" applyAlignment="1">
      <alignment horizontal="center" vertical="center" wrapText="1"/>
    </xf>
    <xf numFmtId="164" fontId="9" fillId="10" borderId="44" xfId="0" applyNumberFormat="1" applyFont="1" applyFill="1" applyBorder="1" applyAlignment="1">
      <alignment horizontal="center" vertical="center"/>
    </xf>
    <xf numFmtId="164" fontId="9" fillId="10" borderId="46" xfId="0" applyNumberFormat="1" applyFont="1" applyFill="1" applyBorder="1" applyAlignment="1">
      <alignment horizontal="center" vertical="center"/>
    </xf>
    <xf numFmtId="164" fontId="9" fillId="10" borderId="50" xfId="0" applyNumberFormat="1" applyFont="1" applyFill="1" applyBorder="1" applyAlignment="1">
      <alignment horizontal="center" vertical="center"/>
    </xf>
    <xf numFmtId="49" fontId="9" fillId="9" borderId="26" xfId="0" applyNumberFormat="1" applyFont="1" applyFill="1" applyBorder="1" applyAlignment="1">
      <alignment horizontal="center" vertical="center"/>
    </xf>
    <xf numFmtId="49" fontId="9" fillId="9" borderId="18" xfId="0" applyNumberFormat="1" applyFont="1" applyFill="1" applyBorder="1" applyAlignment="1">
      <alignment horizontal="center" vertical="center" wrapText="1"/>
    </xf>
    <xf numFmtId="0" fontId="4" fillId="9" borderId="50" xfId="0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4" fillId="9" borderId="45" xfId="0" applyFont="1" applyFill="1" applyBorder="1" applyAlignment="1">
      <alignment horizontal="center" vertical="center"/>
    </xf>
    <xf numFmtId="0" fontId="9" fillId="9" borderId="54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/>
    </xf>
    <xf numFmtId="0" fontId="11" fillId="9" borderId="31" xfId="0" applyFont="1" applyFill="1" applyBorder="1" applyAlignment="1">
      <alignment horizontal="center"/>
    </xf>
    <xf numFmtId="49" fontId="11" fillId="9" borderId="32" xfId="0" applyNumberFormat="1" applyFont="1" applyFill="1" applyBorder="1" applyAlignment="1">
      <alignment horizontal="center"/>
    </xf>
    <xf numFmtId="0" fontId="11" fillId="9" borderId="33" xfId="0" applyFont="1" applyFill="1" applyBorder="1" applyAlignment="1">
      <alignment horizontal="center"/>
    </xf>
    <xf numFmtId="49" fontId="9" fillId="9" borderId="10" xfId="0" applyNumberFormat="1" applyFont="1" applyFill="1" applyBorder="1" applyAlignment="1">
      <alignment horizontal="center" vertical="center" wrapText="1"/>
    </xf>
    <xf numFmtId="0" fontId="4" fillId="9" borderId="44" xfId="0" applyFont="1" applyFill="1" applyBorder="1" applyAlignment="1">
      <alignment horizontal="center" vertical="center" wrapText="1"/>
    </xf>
    <xf numFmtId="0" fontId="4" fillId="9" borderId="46" xfId="0" applyFont="1" applyFill="1" applyBorder="1" applyAlignment="1">
      <alignment horizontal="center" vertical="center" wrapText="1"/>
    </xf>
    <xf numFmtId="0" fontId="4" fillId="9" borderId="50" xfId="0" applyFont="1" applyFill="1" applyBorder="1" applyAlignment="1">
      <alignment horizontal="center" vertical="center" wrapText="1"/>
    </xf>
    <xf numFmtId="49" fontId="9" fillId="9" borderId="2" xfId="0" applyNumberFormat="1" applyFont="1" applyFill="1" applyBorder="1" applyAlignment="1">
      <alignment horizontal="center" vertical="center" wrapText="1"/>
    </xf>
    <xf numFmtId="49" fontId="9" fillId="9" borderId="54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/>
    </xf>
    <xf numFmtId="49" fontId="9" fillId="9" borderId="41" xfId="0" applyNumberFormat="1" applyFont="1" applyFill="1" applyBorder="1" applyAlignment="1">
      <alignment horizontal="center" vertical="center" wrapText="1"/>
    </xf>
    <xf numFmtId="164" fontId="9" fillId="10" borderId="45" xfId="0" applyNumberFormat="1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49" fontId="9" fillId="9" borderId="3" xfId="0" applyNumberFormat="1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9" fillId="9" borderId="39" xfId="0" applyFont="1" applyFill="1" applyBorder="1" applyAlignment="1">
      <alignment horizontal="center" vertical="center"/>
    </xf>
    <xf numFmtId="0" fontId="9" fillId="9" borderId="57" xfId="0" applyFont="1" applyFill="1" applyBorder="1" applyAlignment="1">
      <alignment horizontal="center" vertical="center"/>
    </xf>
    <xf numFmtId="0" fontId="9" fillId="9" borderId="43" xfId="0" applyFont="1" applyFill="1" applyBorder="1" applyAlignment="1">
      <alignment horizontal="center" vertical="center" wrapText="1"/>
    </xf>
    <xf numFmtId="0" fontId="9" fillId="9" borderId="57" xfId="0" applyFont="1" applyFill="1" applyBorder="1" applyAlignment="1">
      <alignment horizontal="center" vertical="center" wrapText="1"/>
    </xf>
    <xf numFmtId="0" fontId="0" fillId="0" borderId="20" xfId="0" applyFill="1" applyBorder="1"/>
    <xf numFmtId="0" fontId="0" fillId="3" borderId="23" xfId="0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 wrapText="1"/>
    </xf>
    <xf numFmtId="0" fontId="0" fillId="3" borderId="34" xfId="0" applyFill="1" applyBorder="1" applyAlignment="1">
      <alignment horizontal="center" vertical="center" wrapText="1"/>
    </xf>
    <xf numFmtId="0" fontId="0" fillId="8" borderId="34" xfId="0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 wrapText="1"/>
    </xf>
    <xf numFmtId="0" fontId="0" fillId="0" borderId="20" xfId="0" applyNumberFormat="1" applyFill="1" applyBorder="1" applyAlignment="1">
      <alignment horizontal="center"/>
    </xf>
    <xf numFmtId="0" fontId="0" fillId="0" borderId="26" xfId="0" applyNumberFormat="1" applyFill="1" applyBorder="1" applyAlignment="1">
      <alignment horizontal="center"/>
    </xf>
    <xf numFmtId="0" fontId="0" fillId="0" borderId="18" xfId="0" applyNumberFormat="1" applyFill="1" applyBorder="1" applyAlignment="1">
      <alignment horizontal="center"/>
    </xf>
    <xf numFmtId="0" fontId="0" fillId="0" borderId="41" xfId="0" applyNumberFormat="1" applyFill="1" applyBorder="1" applyAlignment="1">
      <alignment horizontal="center"/>
    </xf>
    <xf numFmtId="0" fontId="0" fillId="5" borderId="25" xfId="0" applyFill="1" applyBorder="1" applyAlignment="1">
      <alignment horizontal="center" vertical="center" wrapText="1"/>
    </xf>
    <xf numFmtId="0" fontId="3" fillId="5" borderId="58" xfId="0" applyFont="1" applyFill="1" applyBorder="1" applyAlignment="1">
      <alignment horizontal="center"/>
    </xf>
    <xf numFmtId="44" fontId="2" fillId="8" borderId="58" xfId="1" applyFont="1" applyFill="1" applyBorder="1"/>
    <xf numFmtId="0" fontId="3" fillId="5" borderId="15" xfId="0" applyFont="1" applyFill="1" applyBorder="1" applyAlignment="1">
      <alignment horizontal="center"/>
    </xf>
    <xf numFmtId="44" fontId="2" fillId="8" borderId="44" xfId="1" applyFont="1" applyFill="1" applyBorder="1"/>
    <xf numFmtId="0" fontId="0" fillId="0" borderId="2" xfId="0" applyFill="1" applyBorder="1" applyAlignment="1">
      <alignment horizontal="center" wrapText="1"/>
    </xf>
    <xf numFmtId="0" fontId="0" fillId="8" borderId="34" xfId="0" applyFill="1" applyBorder="1" applyAlignment="1">
      <alignment horizontal="center" vertical="center" wrapText="1"/>
    </xf>
    <xf numFmtId="44" fontId="2" fillId="8" borderId="44" xfId="1" applyFont="1" applyFill="1" applyBorder="1" applyAlignment="1">
      <alignment horizontal="center"/>
    </xf>
    <xf numFmtId="0" fontId="9" fillId="9" borderId="15" xfId="0" applyFont="1" applyFill="1" applyBorder="1" applyAlignment="1">
      <alignment horizontal="center" vertical="center" wrapText="1"/>
    </xf>
    <xf numFmtId="0" fontId="9" fillId="9" borderId="49" xfId="0" applyFont="1" applyFill="1" applyBorder="1" applyAlignment="1">
      <alignment horizontal="center" vertical="center" wrapText="1"/>
    </xf>
    <xf numFmtId="49" fontId="12" fillId="9" borderId="2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5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 wrapText="1"/>
    </xf>
    <xf numFmtId="44" fontId="2" fillId="8" borderId="2" xfId="1" applyFont="1" applyFill="1" applyBorder="1"/>
    <xf numFmtId="44" fontId="2" fillId="8" borderId="2" xfId="1" applyFont="1" applyFill="1" applyBorder="1" applyAlignment="1">
      <alignment horizontal="center"/>
    </xf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0" fontId="0" fillId="0" borderId="10" xfId="0" applyFill="1" applyBorder="1" applyAlignment="1">
      <alignment horizontal="center" vertical="center"/>
    </xf>
    <xf numFmtId="0" fontId="14" fillId="0" borderId="2" xfId="2" applyBorder="1" applyAlignment="1">
      <alignment horizontal="center"/>
    </xf>
    <xf numFmtId="164" fontId="9" fillId="10" borderId="18" xfId="0" applyNumberFormat="1" applyFont="1" applyFill="1" applyBorder="1" applyAlignment="1">
      <alignment horizontal="center" vertical="center"/>
    </xf>
    <xf numFmtId="0" fontId="0" fillId="0" borderId="1" xfId="0" applyBorder="1"/>
    <xf numFmtId="0" fontId="13" fillId="9" borderId="9" xfId="0" applyFont="1" applyFill="1" applyBorder="1" applyAlignment="1">
      <alignment horizontal="center" vertical="center" wrapText="1"/>
    </xf>
    <xf numFmtId="0" fontId="2" fillId="8" borderId="2" xfId="1" applyNumberFormat="1" applyFont="1" applyFill="1" applyBorder="1" applyAlignment="1">
      <alignment horizontal="center"/>
    </xf>
    <xf numFmtId="0" fontId="0" fillId="0" borderId="0" xfId="0" applyBorder="1"/>
    <xf numFmtId="16" fontId="2" fillId="8" borderId="2" xfId="1" applyNumberFormat="1" applyFont="1" applyFill="1" applyBorder="1" applyAlignment="1">
      <alignment horizontal="center"/>
    </xf>
    <xf numFmtId="0" fontId="12" fillId="9" borderId="46" xfId="0" applyFont="1" applyFill="1" applyBorder="1" applyAlignment="1">
      <alignment horizontal="center" vertical="center" wrapText="1"/>
    </xf>
    <xf numFmtId="0" fontId="14" fillId="0" borderId="2" xfId="2" applyFill="1" applyBorder="1" applyAlignment="1">
      <alignment horizontal="center"/>
    </xf>
    <xf numFmtId="0" fontId="2" fillId="0" borderId="0" xfId="0" applyFont="1" applyBorder="1"/>
    <xf numFmtId="0" fontId="0" fillId="0" borderId="18" xfId="0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3" fillId="0" borderId="61" xfId="0" applyFont="1" applyFill="1" applyBorder="1" applyAlignment="1">
      <alignment horizontal="center"/>
    </xf>
    <xf numFmtId="0" fontId="3" fillId="0" borderId="59" xfId="0" applyFont="1" applyFill="1" applyBorder="1" applyAlignment="1">
      <alignment horizontal="center"/>
    </xf>
    <xf numFmtId="0" fontId="0" fillId="0" borderId="4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7" borderId="2" xfId="0" applyFill="1" applyBorder="1" applyAlignment="1">
      <alignment horizontal="center" vertical="center"/>
    </xf>
    <xf numFmtId="9" fontId="0" fillId="0" borderId="2" xfId="3" applyFont="1" applyBorder="1" applyAlignment="1">
      <alignment horizontal="center"/>
    </xf>
    <xf numFmtId="0" fontId="0" fillId="0" borderId="2" xfId="4" applyNumberFormat="1" applyFont="1" applyBorder="1" applyAlignment="1">
      <alignment horizontal="center"/>
    </xf>
    <xf numFmtId="0" fontId="0" fillId="0" borderId="26" xfId="0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 wrapText="1"/>
    </xf>
    <xf numFmtId="49" fontId="12" fillId="9" borderId="18" xfId="0" applyNumberFormat="1" applyFont="1" applyFill="1" applyBorder="1" applyAlignment="1">
      <alignment horizontal="center" vertical="center" wrapText="1"/>
    </xf>
    <xf numFmtId="164" fontId="9" fillId="10" borderId="20" xfId="0" applyNumberFormat="1" applyFont="1" applyFill="1" applyBorder="1" applyAlignment="1">
      <alignment horizontal="center" vertical="center"/>
    </xf>
    <xf numFmtId="164" fontId="9" fillId="10" borderId="56" xfId="0" applyNumberFormat="1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 wrapText="1"/>
    </xf>
    <xf numFmtId="0" fontId="4" fillId="9" borderId="54" xfId="0" applyFont="1" applyFill="1" applyBorder="1" applyAlignment="1">
      <alignment horizontal="center" vertical="center" wrapText="1"/>
    </xf>
    <xf numFmtId="49" fontId="4" fillId="9" borderId="54" xfId="0" applyNumberFormat="1" applyFont="1" applyFill="1" applyBorder="1" applyAlignment="1">
      <alignment horizontal="center" vertical="center" wrapText="1"/>
    </xf>
    <xf numFmtId="49" fontId="4" fillId="9" borderId="5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4" fillId="0" borderId="3" xfId="2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28" xfId="0" applyFill="1" applyBorder="1"/>
    <xf numFmtId="12" fontId="2" fillId="8" borderId="44" xfId="1" applyNumberFormat="1" applyFont="1" applyFill="1" applyBorder="1" applyAlignment="1">
      <alignment horizontal="center"/>
    </xf>
    <xf numFmtId="0" fontId="0" fillId="0" borderId="44" xfId="0" applyFill="1" applyBorder="1"/>
    <xf numFmtId="0" fontId="0" fillId="0" borderId="46" xfId="0" applyFill="1" applyBorder="1"/>
    <xf numFmtId="0" fontId="15" fillId="9" borderId="46" xfId="0" applyFont="1" applyFill="1" applyBorder="1" applyAlignment="1">
      <alignment horizontal="center" vertical="center" wrapText="1"/>
    </xf>
    <xf numFmtId="0" fontId="15" fillId="9" borderId="17" xfId="0" applyFont="1" applyFill="1" applyBorder="1" applyAlignment="1">
      <alignment horizontal="center" vertical="center"/>
    </xf>
    <xf numFmtId="0" fontId="15" fillId="9" borderId="4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16" fillId="0" borderId="2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6" fillId="14" borderId="2" xfId="0" applyFont="1" applyFill="1" applyBorder="1" applyAlignment="1"/>
    <xf numFmtId="0" fontId="16" fillId="14" borderId="2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6" xfId="0" applyBorder="1"/>
    <xf numFmtId="14" fontId="0" fillId="0" borderId="17" xfId="0" applyNumberFormat="1" applyBorder="1"/>
    <xf numFmtId="0" fontId="0" fillId="0" borderId="39" xfId="0" applyBorder="1"/>
    <xf numFmtId="0" fontId="0" fillId="0" borderId="3" xfId="0" applyBorder="1"/>
    <xf numFmtId="0" fontId="3" fillId="0" borderId="60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9" xfId="0" applyBorder="1"/>
    <xf numFmtId="14" fontId="0" fillId="0" borderId="46" xfId="0" applyNumberFormat="1" applyBorder="1"/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1" fontId="0" fillId="7" borderId="2" xfId="0" applyNumberFormat="1" applyFill="1" applyBorder="1" applyAlignment="1">
      <alignment horizontal="center" vertical="center"/>
    </xf>
    <xf numFmtId="0" fontId="14" fillId="0" borderId="3" xfId="2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6" borderId="63" xfId="0" applyFill="1" applyBorder="1" applyAlignment="1">
      <alignment horizontal="center" vertical="center"/>
    </xf>
    <xf numFmtId="0" fontId="0" fillId="15" borderId="32" xfId="0" applyFill="1" applyBorder="1" applyAlignment="1">
      <alignment horizontal="center" vertical="center"/>
    </xf>
    <xf numFmtId="0" fontId="0" fillId="15" borderId="32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4" fillId="0" borderId="0" xfId="2" applyBorder="1" applyAlignment="1">
      <alignment horizontal="center"/>
    </xf>
    <xf numFmtId="14" fontId="0" fillId="0" borderId="0" xfId="0" applyNumberFormat="1" applyBorder="1"/>
    <xf numFmtId="0" fontId="0" fillId="0" borderId="0" xfId="0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59" xfId="0" applyFill="1" applyBorder="1" applyAlignment="1">
      <alignment horizontal="center"/>
    </xf>
    <xf numFmtId="0" fontId="0" fillId="0" borderId="6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15" borderId="31" xfId="0" applyFill="1" applyBorder="1" applyAlignment="1">
      <alignment horizontal="center" vertical="center"/>
    </xf>
    <xf numFmtId="0" fontId="0" fillId="6" borderId="53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3" fillId="6" borderId="34" xfId="0" applyFont="1" applyFill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 wrapText="1"/>
    </xf>
    <xf numFmtId="0" fontId="17" fillId="0" borderId="0" xfId="0" applyFont="1" applyBorder="1" applyAlignment="1"/>
    <xf numFmtId="0" fontId="0" fillId="15" borderId="33" xfId="0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4" fillId="8" borderId="2" xfId="0" applyFont="1" applyFill="1" applyBorder="1" applyAlignment="1">
      <alignment horizontal="left" vertical="top" wrapText="1"/>
    </xf>
    <xf numFmtId="0" fontId="4" fillId="13" borderId="2" xfId="0" applyFont="1" applyFill="1" applyBorder="1" applyAlignment="1">
      <alignment horizontal="left" vertical="top" wrapText="1"/>
    </xf>
    <xf numFmtId="20" fontId="4" fillId="16" borderId="2" xfId="0" applyNumberFormat="1" applyFont="1" applyFill="1" applyBorder="1" applyAlignment="1">
      <alignment horizontal="left" vertical="top" wrapText="1"/>
    </xf>
    <xf numFmtId="0" fontId="11" fillId="0" borderId="2" xfId="0" applyFont="1" applyBorder="1" applyAlignment="1">
      <alignment horizontal="left" vertical="center"/>
    </xf>
    <xf numFmtId="164" fontId="11" fillId="0" borderId="2" xfId="0" applyNumberFormat="1" applyFont="1" applyBorder="1" applyAlignment="1">
      <alignment horizontal="left" vertical="center"/>
    </xf>
    <xf numFmtId="164" fontId="11" fillId="9" borderId="2" xfId="0" applyNumberFormat="1" applyFont="1" applyFill="1" applyBorder="1" applyAlignment="1">
      <alignment horizontal="left" vertical="center"/>
    </xf>
    <xf numFmtId="0" fontId="11" fillId="9" borderId="2" xfId="0" applyFont="1" applyFill="1" applyBorder="1" applyAlignment="1">
      <alignment horizontal="left" vertical="center"/>
    </xf>
    <xf numFmtId="49" fontId="11" fillId="9" borderId="2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16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Fill="1" applyBorder="1" applyAlignment="1">
      <alignment horizontal="left"/>
    </xf>
    <xf numFmtId="164" fontId="9" fillId="10" borderId="2" xfId="0" applyNumberFormat="1" applyFont="1" applyFill="1" applyBorder="1" applyAlignment="1">
      <alignment horizontal="left"/>
    </xf>
    <xf numFmtId="164" fontId="9" fillId="8" borderId="2" xfId="0" applyNumberFormat="1" applyFont="1" applyFill="1" applyBorder="1" applyAlignment="1">
      <alignment horizontal="left"/>
    </xf>
    <xf numFmtId="164" fontId="9" fillId="16" borderId="2" xfId="0" applyNumberFormat="1" applyFont="1" applyFill="1" applyBorder="1" applyAlignment="1">
      <alignment horizontal="left"/>
    </xf>
    <xf numFmtId="164" fontId="9" fillId="0" borderId="2" xfId="0" applyNumberFormat="1" applyFont="1" applyFill="1" applyBorder="1" applyAlignment="1">
      <alignment horizontal="left"/>
    </xf>
    <xf numFmtId="0" fontId="9" fillId="8" borderId="2" xfId="0" applyFont="1" applyFill="1" applyBorder="1" applyAlignment="1">
      <alignment horizontal="left" wrapText="1"/>
    </xf>
    <xf numFmtId="0" fontId="9" fillId="16" borderId="2" xfId="0" applyFont="1" applyFill="1" applyBorder="1" applyAlignment="1">
      <alignment horizontal="left" wrapText="1"/>
    </xf>
    <xf numFmtId="0" fontId="9" fillId="0" borderId="2" xfId="0" applyFont="1" applyFill="1" applyBorder="1" applyAlignment="1">
      <alignment horizontal="left" wrapText="1"/>
    </xf>
    <xf numFmtId="0" fontId="9" fillId="0" borderId="2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 wrapText="1"/>
    </xf>
    <xf numFmtId="0" fontId="13" fillId="0" borderId="2" xfId="0" applyFont="1" applyFill="1" applyBorder="1" applyAlignment="1">
      <alignment horizontal="left" wrapText="1"/>
    </xf>
    <xf numFmtId="0" fontId="0" fillId="8" borderId="2" xfId="0" applyFont="1" applyFill="1" applyBorder="1" applyAlignment="1">
      <alignment horizontal="left"/>
    </xf>
    <xf numFmtId="49" fontId="9" fillId="0" borderId="2" xfId="0" applyNumberFormat="1" applyFont="1" applyFill="1" applyBorder="1" applyAlignment="1">
      <alignment horizontal="left" wrapText="1"/>
    </xf>
    <xf numFmtId="49" fontId="9" fillId="0" borderId="2" xfId="0" applyNumberFormat="1" applyFont="1" applyFill="1" applyBorder="1" applyAlignment="1">
      <alignment horizontal="left"/>
    </xf>
    <xf numFmtId="49" fontId="4" fillId="0" borderId="2" xfId="0" applyNumberFormat="1" applyFont="1" applyFill="1" applyBorder="1" applyAlignment="1">
      <alignment horizontal="left" wrapText="1"/>
    </xf>
    <xf numFmtId="49" fontId="12" fillId="0" borderId="2" xfId="0" applyNumberFormat="1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9" fillId="16" borderId="2" xfId="0" applyFont="1" applyFill="1" applyBorder="1" applyAlignment="1">
      <alignment horizontal="left"/>
    </xf>
    <xf numFmtId="164" fontId="9" fillId="13" borderId="2" xfId="0" applyNumberFormat="1" applyFont="1" applyFill="1" applyBorder="1" applyAlignment="1">
      <alignment horizontal="left"/>
    </xf>
    <xf numFmtId="0" fontId="9" fillId="13" borderId="2" xfId="0" applyFont="1" applyFill="1" applyBorder="1" applyAlignment="1">
      <alignment horizontal="left" wrapText="1"/>
    </xf>
    <xf numFmtId="0" fontId="0" fillId="0" borderId="2" xfId="0" applyFont="1" applyFill="1" applyBorder="1" applyAlignment="1">
      <alignment horizontal="left"/>
    </xf>
    <xf numFmtId="0" fontId="0" fillId="13" borderId="2" xfId="0" applyFont="1" applyFill="1" applyBorder="1" applyAlignment="1">
      <alignment horizontal="left"/>
    </xf>
    <xf numFmtId="0" fontId="0" fillId="4" borderId="53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63" xfId="0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19" fillId="17" borderId="63" xfId="0" applyFont="1" applyFill="1" applyBorder="1"/>
    <xf numFmtId="0" fontId="0" fillId="0" borderId="67" xfId="0" applyBorder="1"/>
    <xf numFmtId="0" fontId="0" fillId="0" borderId="59" xfId="0" applyBorder="1"/>
    <xf numFmtId="0" fontId="0" fillId="0" borderId="60" xfId="0" applyBorder="1"/>
    <xf numFmtId="0" fontId="0" fillId="0" borderId="41" xfId="0" applyBorder="1" applyAlignment="1">
      <alignment horizontal="center" vertical="center"/>
    </xf>
    <xf numFmtId="0" fontId="0" fillId="0" borderId="38" xfId="0" applyFill="1" applyBorder="1"/>
    <xf numFmtId="0" fontId="0" fillId="0" borderId="23" xfId="0" applyBorder="1" applyAlignment="1">
      <alignment horizontal="center"/>
    </xf>
    <xf numFmtId="0" fontId="7" fillId="0" borderId="0" xfId="0" applyFont="1"/>
    <xf numFmtId="0" fontId="0" fillId="0" borderId="2" xfId="0" applyBorder="1" applyAlignment="1">
      <alignment horizontal="center"/>
    </xf>
    <xf numFmtId="0" fontId="4" fillId="16" borderId="2" xfId="0" applyFont="1" applyFill="1" applyBorder="1" applyAlignment="1">
      <alignment horizontal="left" vertical="top" wrapText="1"/>
    </xf>
    <xf numFmtId="0" fontId="18" fillId="16" borderId="2" xfId="0" applyFont="1" applyFill="1" applyBorder="1" applyAlignment="1">
      <alignment horizontal="left" vertical="top" wrapText="1"/>
    </xf>
    <xf numFmtId="165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49" xfId="0" applyFill="1" applyBorder="1"/>
    <xf numFmtId="0" fontId="0" fillId="5" borderId="54" xfId="0" applyFill="1" applyBorder="1"/>
    <xf numFmtId="0" fontId="0" fillId="5" borderId="50" xfId="0" applyFill="1" applyBorder="1"/>
    <xf numFmtId="0" fontId="0" fillId="0" borderId="47" xfId="0" applyFill="1" applyBorder="1"/>
    <xf numFmtId="0" fontId="0" fillId="0" borderId="48" xfId="0" applyBorder="1" applyAlignment="1">
      <alignment horizontal="center"/>
    </xf>
    <xf numFmtId="14" fontId="0" fillId="0" borderId="45" xfId="0" applyNumberFormat="1" applyFill="1" applyBorder="1"/>
    <xf numFmtId="0" fontId="0" fillId="0" borderId="52" xfId="0" applyNumberFormat="1" applyFill="1" applyBorder="1" applyAlignment="1">
      <alignment horizontal="center"/>
    </xf>
    <xf numFmtId="0" fontId="0" fillId="0" borderId="48" xfId="0" applyNumberFormat="1" applyFill="1" applyBorder="1" applyAlignment="1">
      <alignment horizontal="center"/>
    </xf>
    <xf numFmtId="0" fontId="3" fillId="5" borderId="48" xfId="0" applyFont="1" applyFill="1" applyBorder="1" applyAlignment="1">
      <alignment horizontal="center"/>
    </xf>
    <xf numFmtId="44" fontId="2" fillId="8" borderId="48" xfId="1" applyFont="1" applyFill="1" applyBorder="1"/>
    <xf numFmtId="0" fontId="0" fillId="3" borderId="40" xfId="0" applyFill="1" applyBorder="1" applyAlignment="1">
      <alignment horizontal="center" vertical="center" wrapText="1"/>
    </xf>
    <xf numFmtId="0" fontId="0" fillId="3" borderId="36" xfId="0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 vertical="center" wrapText="1"/>
    </xf>
    <xf numFmtId="0" fontId="0" fillId="8" borderId="63" xfId="0" applyFill="1" applyBorder="1" applyAlignment="1">
      <alignment horizontal="center" vertical="center"/>
    </xf>
    <xf numFmtId="0" fontId="0" fillId="8" borderId="63" xfId="0" applyFill="1" applyBorder="1" applyAlignment="1">
      <alignment horizontal="center" vertical="center" wrapText="1"/>
    </xf>
    <xf numFmtId="20" fontId="4" fillId="0" borderId="2" xfId="0" applyNumberFormat="1" applyFont="1" applyFill="1" applyBorder="1" applyAlignment="1">
      <alignment horizontal="left" vertical="top" wrapText="1"/>
    </xf>
    <xf numFmtId="0" fontId="18" fillId="0" borderId="2" xfId="0" applyFont="1" applyFill="1" applyBorder="1" applyAlignment="1">
      <alignment horizontal="left" vertical="top" wrapText="1"/>
    </xf>
    <xf numFmtId="164" fontId="9" fillId="12" borderId="2" xfId="0" applyNumberFormat="1" applyFont="1" applyFill="1" applyBorder="1" applyAlignment="1">
      <alignment horizontal="left"/>
    </xf>
    <xf numFmtId="0" fontId="11" fillId="9" borderId="2" xfId="0" applyFont="1" applyFill="1" applyBorder="1" applyAlignment="1">
      <alignment horizontal="left" vertical="center" wrapText="1"/>
    </xf>
    <xf numFmtId="0" fontId="0" fillId="2" borderId="53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63" xfId="0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2" fillId="8" borderId="48" xfId="1" applyNumberFormat="1" applyFont="1" applyFill="1" applyBorder="1" applyAlignment="1">
      <alignment horizontal="center"/>
    </xf>
    <xf numFmtId="164" fontId="7" fillId="2" borderId="2" xfId="0" applyNumberFormat="1" applyFont="1" applyFill="1" applyBorder="1" applyAlignment="1">
      <alignment horizontal="left"/>
    </xf>
    <xf numFmtId="0" fontId="0" fillId="2" borderId="2" xfId="0" applyFont="1" applyFill="1" applyBorder="1" applyAlignment="1">
      <alignment horizontal="left" wrapText="1"/>
    </xf>
    <xf numFmtId="49" fontId="0" fillId="2" borderId="2" xfId="0" applyNumberFormat="1" applyFont="1" applyFill="1" applyBorder="1" applyAlignment="1">
      <alignment horizontal="left" wrapText="1"/>
    </xf>
    <xf numFmtId="0" fontId="0" fillId="2" borderId="2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wrapText="1"/>
    </xf>
    <xf numFmtId="44" fontId="0" fillId="0" borderId="2" xfId="1" applyFont="1" applyBorder="1" applyAlignment="1">
      <alignment horizontal="center"/>
    </xf>
    <xf numFmtId="44" fontId="0" fillId="0" borderId="2" xfId="1" applyFont="1" applyBorder="1" applyAlignment="1">
      <alignment horizontal="center" vertical="center"/>
    </xf>
    <xf numFmtId="9" fontId="0" fillId="0" borderId="2" xfId="3" applyFont="1" applyBorder="1" applyAlignment="1">
      <alignment horizontal="center" vertical="center"/>
    </xf>
    <xf numFmtId="0" fontId="16" fillId="0" borderId="15" xfId="0" applyFont="1" applyBorder="1"/>
    <xf numFmtId="9" fontId="0" fillId="0" borderId="44" xfId="3" applyFont="1" applyBorder="1"/>
    <xf numFmtId="0" fontId="16" fillId="0" borderId="49" xfId="0" applyFont="1" applyBorder="1"/>
    <xf numFmtId="9" fontId="0" fillId="0" borderId="50" xfId="3" applyFont="1" applyBorder="1"/>
    <xf numFmtId="0" fontId="0" fillId="8" borderId="10" xfId="0" applyFill="1" applyBorder="1" applyAlignment="1">
      <alignment horizontal="center" vertical="center"/>
    </xf>
    <xf numFmtId="0" fontId="0" fillId="8" borderId="44" xfId="0" applyFill="1" applyBorder="1" applyAlignment="1">
      <alignment horizontal="center" vertical="center"/>
    </xf>
    <xf numFmtId="0" fontId="0" fillId="8" borderId="54" xfId="0" applyFill="1" applyBorder="1" applyAlignment="1">
      <alignment horizontal="center" vertical="center"/>
    </xf>
    <xf numFmtId="0" fontId="0" fillId="8" borderId="50" xfId="0" applyFill="1" applyBorder="1" applyAlignment="1">
      <alignment horizontal="center" vertical="center"/>
    </xf>
    <xf numFmtId="0" fontId="16" fillId="8" borderId="2" xfId="0" applyFont="1" applyFill="1" applyBorder="1" applyAlignment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wrapText="1"/>
    </xf>
    <xf numFmtId="0" fontId="0" fillId="4" borderId="2" xfId="0" applyFill="1" applyBorder="1"/>
    <xf numFmtId="164" fontId="11" fillId="9" borderId="48" xfId="0" applyNumberFormat="1" applyFont="1" applyFill="1" applyBorder="1" applyAlignment="1">
      <alignment horizontal="left" vertical="center"/>
    </xf>
    <xf numFmtId="0" fontId="0" fillId="0" borderId="48" xfId="0" applyBorder="1"/>
    <xf numFmtId="0" fontId="11" fillId="9" borderId="54" xfId="0" applyFont="1" applyFill="1" applyBorder="1" applyAlignment="1">
      <alignment horizontal="left" vertical="center"/>
    </xf>
    <xf numFmtId="0" fontId="0" fillId="0" borderId="54" xfId="0" applyBorder="1"/>
    <xf numFmtId="0" fontId="0" fillId="4" borderId="48" xfId="0" applyFill="1" applyBorder="1"/>
    <xf numFmtId="0" fontId="0" fillId="0" borderId="2" xfId="0" applyFont="1" applyBorder="1" applyAlignment="1">
      <alignment horizontal="left"/>
    </xf>
    <xf numFmtId="0" fontId="0" fillId="0" borderId="2" xfId="0" applyFont="1" applyBorder="1" applyAlignment="1">
      <alignment horizontal="left" wrapText="1"/>
    </xf>
    <xf numFmtId="0" fontId="24" fillId="0" borderId="0" xfId="0" applyFont="1" applyAlignment="1">
      <alignment horizontal="left" vertical="center" wrapText="1"/>
    </xf>
    <xf numFmtId="0" fontId="0" fillId="0" borderId="2" xfId="0" applyFont="1" applyBorder="1" applyAlignment="1">
      <alignment vertical="center" wrapText="1"/>
    </xf>
    <xf numFmtId="0" fontId="0" fillId="0" borderId="2" xfId="0" applyFont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20" fillId="9" borderId="0" xfId="0" applyFont="1" applyFill="1" applyBorder="1" applyAlignment="1">
      <alignment horizontal="center" vertical="center" textRotation="90"/>
    </xf>
    <xf numFmtId="0" fontId="11" fillId="9" borderId="0" xfId="0" applyFont="1" applyFill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0" fillId="0" borderId="2" xfId="0" applyBorder="1" applyAlignment="1">
      <alignment vertical="center" wrapText="1"/>
    </xf>
    <xf numFmtId="0" fontId="14" fillId="0" borderId="2" xfId="2" applyBorder="1"/>
    <xf numFmtId="0" fontId="0" fillId="0" borderId="54" xfId="0" applyBorder="1" applyAlignment="1">
      <alignment wrapText="1"/>
    </xf>
    <xf numFmtId="0" fontId="0" fillId="0" borderId="48" xfId="0" applyFont="1" applyFill="1" applyBorder="1" applyAlignment="1">
      <alignment horizontal="left" vertical="center"/>
    </xf>
    <xf numFmtId="0" fontId="0" fillId="0" borderId="48" xfId="0" applyFont="1" applyFill="1" applyBorder="1" applyAlignment="1">
      <alignment horizontal="left"/>
    </xf>
    <xf numFmtId="0" fontId="0" fillId="0" borderId="48" xfId="0" applyFill="1" applyBorder="1"/>
    <xf numFmtId="0" fontId="0" fillId="0" borderId="48" xfId="0" applyFill="1" applyBorder="1" applyAlignment="1">
      <alignment horizontal="left" vertical="center"/>
    </xf>
    <xf numFmtId="164" fontId="11" fillId="9" borderId="10" xfId="0" applyNumberFormat="1" applyFont="1" applyFill="1" applyBorder="1" applyAlignment="1">
      <alignment horizontal="left" vertical="center"/>
    </xf>
    <xf numFmtId="0" fontId="0" fillId="4" borderId="10" xfId="0" applyFont="1" applyFill="1" applyBorder="1" applyAlignment="1">
      <alignment horizontal="left" vertical="center"/>
    </xf>
    <xf numFmtId="0" fontId="0" fillId="0" borderId="10" xfId="0" applyFont="1" applyBorder="1" applyAlignment="1">
      <alignment horizontal="left"/>
    </xf>
    <xf numFmtId="0" fontId="0" fillId="4" borderId="10" xfId="0" applyFont="1" applyFill="1" applyBorder="1" applyAlignment="1">
      <alignment vertical="center"/>
    </xf>
    <xf numFmtId="0" fontId="0" fillId="4" borderId="10" xfId="0" applyFill="1" applyBorder="1"/>
    <xf numFmtId="0" fontId="0" fillId="4" borderId="10" xfId="0" applyFill="1" applyBorder="1" applyAlignment="1">
      <alignment horizontal="left" vertical="center"/>
    </xf>
    <xf numFmtId="0" fontId="0" fillId="0" borderId="10" xfId="0" applyBorder="1"/>
    <xf numFmtId="0" fontId="24" fillId="0" borderId="0" xfId="0" applyFont="1" applyBorder="1" applyAlignment="1">
      <alignment horizontal="left" vertical="center" wrapText="1"/>
    </xf>
    <xf numFmtId="0" fontId="0" fillId="0" borderId="54" xfId="0" applyFont="1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12" fillId="0" borderId="9" xfId="0" applyFont="1" applyFill="1" applyBorder="1"/>
    <xf numFmtId="0" fontId="14" fillId="0" borderId="10" xfId="2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44" xfId="0" applyNumberFormat="1" applyFill="1" applyBorder="1"/>
    <xf numFmtId="0" fontId="0" fillId="0" borderId="3" xfId="0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vertical="center"/>
    </xf>
    <xf numFmtId="0" fontId="0" fillId="0" borderId="39" xfId="0" applyFill="1" applyBorder="1" applyAlignment="1">
      <alignment horizontal="center" wrapText="1"/>
    </xf>
    <xf numFmtId="0" fontId="0" fillId="18" borderId="9" xfId="0" applyFill="1" applyBorder="1"/>
    <xf numFmtId="0" fontId="14" fillId="18" borderId="2" xfId="2" applyFill="1" applyBorder="1" applyAlignment="1">
      <alignment horizontal="center"/>
    </xf>
    <xf numFmtId="0" fontId="0" fillId="18" borderId="2" xfId="0" applyFill="1" applyBorder="1" applyAlignment="1">
      <alignment horizontal="center"/>
    </xf>
    <xf numFmtId="14" fontId="0" fillId="18" borderId="46" xfId="0" applyNumberFormat="1" applyFill="1" applyBorder="1"/>
    <xf numFmtId="0" fontId="0" fillId="18" borderId="1" xfId="0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18" borderId="18" xfId="0" applyFill="1" applyBorder="1" applyAlignment="1">
      <alignment horizontal="center" vertical="center"/>
    </xf>
    <xf numFmtId="0" fontId="3" fillId="18" borderId="59" xfId="0" applyFont="1" applyFill="1" applyBorder="1" applyAlignment="1">
      <alignment horizontal="center"/>
    </xf>
    <xf numFmtId="0" fontId="0" fillId="18" borderId="65" xfId="0" applyFill="1" applyBorder="1" applyAlignment="1">
      <alignment horizontal="center"/>
    </xf>
    <xf numFmtId="0" fontId="0" fillId="18" borderId="59" xfId="0" applyFill="1" applyBorder="1" applyAlignment="1">
      <alignment horizontal="center"/>
    </xf>
    <xf numFmtId="49" fontId="11" fillId="9" borderId="2" xfId="0" applyNumberFormat="1" applyFont="1" applyFill="1" applyBorder="1" applyAlignment="1">
      <alignment vertical="top" wrapText="1"/>
    </xf>
    <xf numFmtId="49" fontId="0" fillId="0" borderId="2" xfId="0" applyNumberFormat="1" applyBorder="1" applyAlignment="1">
      <alignment vertical="top"/>
    </xf>
    <xf numFmtId="49" fontId="0" fillId="0" borderId="0" xfId="0" applyNumberFormat="1" applyAlignment="1">
      <alignment vertical="top"/>
    </xf>
    <xf numFmtId="49" fontId="11" fillId="9" borderId="2" xfId="0" applyNumberFormat="1" applyFont="1" applyFill="1" applyBorder="1" applyAlignment="1">
      <alignment horizontal="left" vertical="top" wrapText="1"/>
    </xf>
    <xf numFmtId="49" fontId="0" fillId="0" borderId="2" xfId="0" applyNumberFormat="1" applyFont="1" applyBorder="1" applyAlignment="1">
      <alignment vertical="top"/>
    </xf>
    <xf numFmtId="49" fontId="0" fillId="0" borderId="2" xfId="0" applyNumberFormat="1" applyBorder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wrapText="1"/>
    </xf>
    <xf numFmtId="0" fontId="11" fillId="9" borderId="54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39" xfId="0" applyFill="1" applyBorder="1" applyAlignment="1">
      <alignment horizontal="center"/>
    </xf>
    <xf numFmtId="49" fontId="0" fillId="0" borderId="2" xfId="0" applyNumberFormat="1" applyBorder="1" applyAlignment="1">
      <alignment vertical="top" wrapText="1"/>
    </xf>
    <xf numFmtId="0" fontId="4" fillId="0" borderId="9" xfId="0" applyFont="1" applyFill="1" applyBorder="1"/>
    <xf numFmtId="49" fontId="0" fillId="0" borderId="2" xfId="0" applyNumberFormat="1" applyFont="1" applyBorder="1" applyAlignment="1">
      <alignment vertical="top" wrapText="1"/>
    </xf>
    <xf numFmtId="0" fontId="0" fillId="0" borderId="39" xfId="0" applyFill="1" applyBorder="1" applyAlignment="1">
      <alignment horizontal="center" vertical="center"/>
    </xf>
    <xf numFmtId="0" fontId="0" fillId="0" borderId="6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6" xfId="0" applyBorder="1" applyAlignment="1">
      <alignment horizontal="center"/>
    </xf>
    <xf numFmtId="0" fontId="2" fillId="6" borderId="38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36" xfId="0" applyFont="1" applyFill="1" applyBorder="1" applyAlignment="1">
      <alignment horizontal="center"/>
    </xf>
    <xf numFmtId="0" fontId="2" fillId="4" borderId="38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36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16" fillId="8" borderId="68" xfId="0" applyFont="1" applyFill="1" applyBorder="1" applyAlignment="1">
      <alignment horizontal="right"/>
    </xf>
    <xf numFmtId="0" fontId="16" fillId="8" borderId="22" xfId="0" applyFont="1" applyFill="1" applyBorder="1" applyAlignment="1">
      <alignment horizontal="right"/>
    </xf>
    <xf numFmtId="0" fontId="16" fillId="8" borderId="53" xfId="0" applyFont="1" applyFill="1" applyBorder="1" applyAlignment="1">
      <alignment horizontal="right"/>
    </xf>
    <xf numFmtId="0" fontId="17" fillId="0" borderId="38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36" xfId="0" applyFont="1" applyBorder="1" applyAlignment="1">
      <alignment horizontal="center"/>
    </xf>
    <xf numFmtId="0" fontId="16" fillId="8" borderId="69" xfId="0" applyFont="1" applyFill="1" applyBorder="1" applyAlignment="1">
      <alignment horizontal="right"/>
    </xf>
    <xf numFmtId="0" fontId="16" fillId="8" borderId="70" xfId="0" applyFont="1" applyFill="1" applyBorder="1" applyAlignment="1">
      <alignment horizontal="right"/>
    </xf>
    <xf numFmtId="0" fontId="16" fillId="8" borderId="57" xfId="0" applyFont="1" applyFill="1" applyBorder="1" applyAlignment="1">
      <alignment horizontal="right"/>
    </xf>
    <xf numFmtId="0" fontId="5" fillId="0" borderId="38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7" fillId="10" borderId="9" xfId="0" applyFont="1" applyFill="1" applyBorder="1" applyAlignment="1">
      <alignment horizontal="center" vertical="center"/>
    </xf>
    <xf numFmtId="0" fontId="7" fillId="10" borderId="49" xfId="0" applyFont="1" applyFill="1" applyBorder="1" applyAlignment="1">
      <alignment horizontal="center" vertical="center"/>
    </xf>
    <xf numFmtId="164" fontId="9" fillId="10" borderId="48" xfId="0" applyNumberFormat="1" applyFont="1" applyFill="1" applyBorder="1" applyAlignment="1">
      <alignment horizontal="center" vertical="center"/>
    </xf>
    <xf numFmtId="164" fontId="9" fillId="10" borderId="2" xfId="0" applyNumberFormat="1" applyFont="1" applyFill="1" applyBorder="1" applyAlignment="1">
      <alignment horizontal="center" vertical="center"/>
    </xf>
    <xf numFmtId="164" fontId="9" fillId="10" borderId="9" xfId="0" applyNumberFormat="1" applyFont="1" applyFill="1" applyBorder="1" applyAlignment="1">
      <alignment horizontal="center" vertical="center"/>
    </xf>
    <xf numFmtId="164" fontId="9" fillId="10" borderId="54" xfId="0" applyNumberFormat="1" applyFont="1" applyFill="1" applyBorder="1" applyAlignment="1">
      <alignment horizontal="center" vertical="center"/>
    </xf>
    <xf numFmtId="0" fontId="7" fillId="10" borderId="47" xfId="0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164" fontId="9" fillId="10" borderId="10" xfId="0" applyNumberFormat="1" applyFont="1" applyFill="1" applyBorder="1" applyAlignment="1">
      <alignment horizontal="center" vertical="center"/>
    </xf>
    <xf numFmtId="0" fontId="10" fillId="9" borderId="51" xfId="0" applyFont="1" applyFill="1" applyBorder="1" applyAlignment="1">
      <alignment horizontal="center"/>
    </xf>
    <xf numFmtId="0" fontId="10" fillId="9" borderId="32" xfId="0" applyFont="1" applyFill="1" applyBorder="1" applyAlignment="1">
      <alignment horizontal="center"/>
    </xf>
    <xf numFmtId="0" fontId="10" fillId="9" borderId="37" xfId="0" applyFont="1" applyFill="1" applyBorder="1" applyAlignment="1">
      <alignment horizontal="center"/>
    </xf>
    <xf numFmtId="0" fontId="10" fillId="9" borderId="11" xfId="0" applyFont="1" applyFill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10" fillId="7" borderId="8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10" fillId="4" borderId="21" xfId="0" applyFont="1" applyFill="1" applyBorder="1" applyAlignment="1">
      <alignment horizontal="center"/>
    </xf>
    <xf numFmtId="0" fontId="10" fillId="4" borderId="22" xfId="0" applyFont="1" applyFill="1" applyBorder="1" applyAlignment="1">
      <alignment horizontal="center"/>
    </xf>
    <xf numFmtId="0" fontId="10" fillId="6" borderId="12" xfId="0" applyFont="1" applyFill="1" applyBorder="1" applyAlignment="1">
      <alignment horizontal="center"/>
    </xf>
    <xf numFmtId="0" fontId="10" fillId="6" borderId="14" xfId="0" applyFont="1" applyFill="1" applyBorder="1" applyAlignment="1">
      <alignment horizontal="center"/>
    </xf>
    <xf numFmtId="0" fontId="10" fillId="6" borderId="27" xfId="0" applyFont="1" applyFill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164" fontId="11" fillId="10" borderId="2" xfId="0" applyNumberFormat="1" applyFont="1" applyFill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0" fontId="20" fillId="9" borderId="3" xfId="0" applyFont="1" applyFill="1" applyBorder="1" applyAlignment="1">
      <alignment horizontal="center" vertical="center" wrapText="1"/>
    </xf>
    <xf numFmtId="0" fontId="20" fillId="9" borderId="5" xfId="0" applyFont="1" applyFill="1" applyBorder="1" applyAlignment="1">
      <alignment horizontal="center" vertical="center"/>
    </xf>
    <xf numFmtId="0" fontId="20" fillId="9" borderId="48" xfId="0" applyFont="1" applyFill="1" applyBorder="1" applyAlignment="1">
      <alignment horizontal="center" vertical="center"/>
    </xf>
    <xf numFmtId="17" fontId="20" fillId="0" borderId="2" xfId="0" applyNumberFormat="1" applyFont="1" applyBorder="1" applyAlignment="1">
      <alignment horizontal="center" vertical="center"/>
    </xf>
    <xf numFmtId="0" fontId="10" fillId="10" borderId="18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164" fontId="11" fillId="10" borderId="18" xfId="0" applyNumberFormat="1" applyFont="1" applyFill="1" applyBorder="1" applyAlignment="1">
      <alignment horizontal="center"/>
    </xf>
    <xf numFmtId="164" fontId="11" fillId="10" borderId="1" xfId="0" applyNumberFormat="1" applyFont="1" applyFill="1" applyBorder="1" applyAlignment="1">
      <alignment horizontal="center"/>
    </xf>
    <xf numFmtId="0" fontId="21" fillId="0" borderId="38" xfId="0" applyFont="1" applyBorder="1" applyAlignment="1">
      <alignment horizontal="center"/>
    </xf>
    <xf numFmtId="166" fontId="11" fillId="10" borderId="18" xfId="0" applyNumberFormat="1" applyFont="1" applyFill="1" applyBorder="1" applyAlignment="1">
      <alignment horizontal="center"/>
    </xf>
    <xf numFmtId="166" fontId="11" fillId="10" borderId="1" xfId="0" applyNumberFormat="1" applyFont="1" applyFill="1" applyBorder="1" applyAlignment="1">
      <alignment horizontal="center"/>
    </xf>
    <xf numFmtId="17" fontId="20" fillId="0" borderId="3" xfId="0" applyNumberFormat="1" applyFont="1" applyBorder="1" applyAlignment="1">
      <alignment horizontal="center" vertical="center"/>
    </xf>
    <xf numFmtId="17" fontId="20" fillId="0" borderId="48" xfId="0" applyNumberFormat="1" applyFont="1" applyBorder="1" applyAlignment="1">
      <alignment horizontal="center" vertical="center"/>
    </xf>
    <xf numFmtId="166" fontId="11" fillId="12" borderId="18" xfId="0" applyNumberFormat="1" applyFont="1" applyFill="1" applyBorder="1" applyAlignment="1">
      <alignment horizontal="center"/>
    </xf>
    <xf numFmtId="166" fontId="11" fillId="12" borderId="1" xfId="0" applyNumberFormat="1" applyFont="1" applyFill="1" applyBorder="1" applyAlignment="1">
      <alignment horizontal="center"/>
    </xf>
    <xf numFmtId="0" fontId="20" fillId="9" borderId="3" xfId="0" applyFont="1" applyFill="1" applyBorder="1" applyAlignment="1">
      <alignment horizontal="center" vertical="center" textRotation="90" wrapText="1"/>
    </xf>
    <xf numFmtId="0" fontId="20" fillId="9" borderId="5" xfId="0" applyFont="1" applyFill="1" applyBorder="1" applyAlignment="1">
      <alignment horizontal="center" vertical="center" textRotation="90"/>
    </xf>
    <xf numFmtId="0" fontId="20" fillId="9" borderId="71" xfId="0" applyFont="1" applyFill="1" applyBorder="1" applyAlignment="1">
      <alignment horizontal="center" vertical="center" textRotation="90"/>
    </xf>
    <xf numFmtId="0" fontId="20" fillId="9" borderId="32" xfId="0" applyFont="1" applyFill="1" applyBorder="1" applyAlignment="1">
      <alignment horizontal="center" vertical="center" textRotation="90" wrapText="1"/>
    </xf>
    <xf numFmtId="0" fontId="20" fillId="9" borderId="5" xfId="0" applyFont="1" applyFill="1" applyBorder="1" applyAlignment="1">
      <alignment horizontal="center" vertical="center" textRotation="90" wrapText="1"/>
    </xf>
    <xf numFmtId="0" fontId="20" fillId="9" borderId="48" xfId="0" applyFont="1" applyFill="1" applyBorder="1" applyAlignment="1">
      <alignment horizontal="center" vertical="center" textRotation="90"/>
    </xf>
    <xf numFmtId="0" fontId="22" fillId="12" borderId="41" xfId="0" applyFont="1" applyFill="1" applyBorder="1" applyAlignment="1">
      <alignment horizontal="center" vertical="center" textRotation="255"/>
    </xf>
    <xf numFmtId="0" fontId="22" fillId="12" borderId="39" xfId="0" applyFont="1" applyFill="1" applyBorder="1" applyAlignment="1">
      <alignment horizontal="center" vertical="center" textRotation="255"/>
    </xf>
    <xf numFmtId="0" fontId="22" fillId="12" borderId="19" xfId="0" applyFont="1" applyFill="1" applyBorder="1" applyAlignment="1">
      <alignment horizontal="center" vertical="center" textRotation="255"/>
    </xf>
    <xf numFmtId="0" fontId="22" fillId="12" borderId="4" xfId="0" applyFont="1" applyFill="1" applyBorder="1" applyAlignment="1">
      <alignment horizontal="center" vertical="center" textRotation="255"/>
    </xf>
    <xf numFmtId="0" fontId="22" fillId="12" borderId="26" xfId="0" applyFont="1" applyFill="1" applyBorder="1" applyAlignment="1">
      <alignment horizontal="center" vertical="center" textRotation="255"/>
    </xf>
    <xf numFmtId="0" fontId="22" fillId="12" borderId="52" xfId="0" applyFont="1" applyFill="1" applyBorder="1" applyAlignment="1">
      <alignment horizontal="center" vertical="center" textRotation="255"/>
    </xf>
    <xf numFmtId="0" fontId="23" fillId="0" borderId="38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3" fillId="0" borderId="36" xfId="0" applyFont="1" applyBorder="1" applyAlignment="1">
      <alignment horizontal="center"/>
    </xf>
    <xf numFmtId="0" fontId="5" fillId="0" borderId="62" xfId="0" applyFont="1" applyBorder="1" applyAlignment="1">
      <alignment horizontal="center"/>
    </xf>
    <xf numFmtId="0" fontId="5" fillId="0" borderId="0" xfId="0" applyFont="1" applyBorder="1" applyAlignment="1">
      <alignment horizontal="center"/>
    </xf>
  </cellXfs>
  <cellStyles count="5">
    <cellStyle name="Lien hypertexte" xfId="2" builtinId="8"/>
    <cellStyle name="Milliers" xfId="4" builtinId="3"/>
    <cellStyle name="Monétaire" xfId="1" builtinId="4"/>
    <cellStyle name="Normal" xfId="0" builtinId="0"/>
    <cellStyle name="Pourcentage" xfId="3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BILAN!$B$11</c:f>
              <c:strCache>
                <c:ptCount val="1"/>
                <c:pt idx="0">
                  <c:v>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C19-4ED9-83A7-1D6AA812E3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C19-4ED9-83A7-1D6AA812E3D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C19-4ED9-83A7-1D6AA812E3D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C19-4ED9-83A7-1D6AA812E3D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C19-4ED9-83A7-1D6AA812E3D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C19-4ED9-83A7-1D6AA812E3D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C19-4ED9-83A7-1D6AA812E3D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4C19-4ED9-83A7-1D6AA812E3D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4C19-4ED9-83A7-1D6AA812E3D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4C19-4ED9-83A7-1D6AA812E3D0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BILAN!$B$12:$B$16</c:f>
              <c:strCache>
                <c:ptCount val="5"/>
                <c:pt idx="0">
                  <c:v>14 ans</c:v>
                </c:pt>
                <c:pt idx="1">
                  <c:v>15 ans</c:v>
                </c:pt>
                <c:pt idx="2">
                  <c:v>16 ans</c:v>
                </c:pt>
                <c:pt idx="3">
                  <c:v>17 ans</c:v>
                </c:pt>
                <c:pt idx="4">
                  <c:v>18 ans</c:v>
                </c:pt>
              </c:strCache>
            </c:strRef>
          </c:cat>
          <c:val>
            <c:numRef>
              <c:f>BILAN!$D$12:$D$16</c:f>
              <c:numCache>
                <c:formatCode>0%</c:formatCode>
                <c:ptCount val="5"/>
                <c:pt idx="0">
                  <c:v>0.21568627450980393</c:v>
                </c:pt>
                <c:pt idx="1">
                  <c:v>0.21568627450980393</c:v>
                </c:pt>
                <c:pt idx="2">
                  <c:v>0.25490196078431371</c:v>
                </c:pt>
                <c:pt idx="3">
                  <c:v>0.21568627450980393</c:v>
                </c:pt>
                <c:pt idx="4">
                  <c:v>9.8039215686274508E-2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8-4F4E-A1AB-12339CD018C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8</xdr:row>
      <xdr:rowOff>114299</xdr:rowOff>
    </xdr:from>
    <xdr:to>
      <xdr:col>7</xdr:col>
      <xdr:colOff>514350</xdr:colOff>
      <xdr:row>18</xdr:row>
      <xdr:rowOff>161924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eloipicart@gmail.com" TargetMode="External"/><Relationship Id="rId18" Type="http://schemas.openxmlformats.org/officeDocument/2006/relationships/hyperlink" Target="mailto:jade.delep@outlook.fr" TargetMode="External"/><Relationship Id="rId26" Type="http://schemas.openxmlformats.org/officeDocument/2006/relationships/hyperlink" Target="mailto:noemierahain@outlook.fr" TargetMode="External"/><Relationship Id="rId39" Type="http://schemas.openxmlformats.org/officeDocument/2006/relationships/hyperlink" Target="mailto:eugenie.robert1@icloud.com" TargetMode="External"/><Relationship Id="rId21" Type="http://schemas.openxmlformats.org/officeDocument/2006/relationships/hyperlink" Target="mailto:lou.rallurich@icloud.com" TargetMode="External"/><Relationship Id="rId34" Type="http://schemas.openxmlformats.org/officeDocument/2006/relationships/hyperlink" Target="mailto:mazaninetti@yahoo.fr" TargetMode="External"/><Relationship Id="rId42" Type="http://schemas.openxmlformats.org/officeDocument/2006/relationships/hyperlink" Target="mailto:lecousterlison@gmail.com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mailto:lecadre.eloise.fr@gmail.com" TargetMode="External"/><Relationship Id="rId2" Type="http://schemas.openxmlformats.org/officeDocument/2006/relationships/hyperlink" Target="mailto:poulain29@icloud.com" TargetMode="External"/><Relationship Id="rId16" Type="http://schemas.openxmlformats.org/officeDocument/2006/relationships/hyperlink" Target="mailto:ibrahim12diawara@gmail.com" TargetMode="External"/><Relationship Id="rId29" Type="http://schemas.openxmlformats.org/officeDocument/2006/relationships/hyperlink" Target="mailto:heolig.bertel@gmail.com" TargetMode="External"/><Relationship Id="rId1" Type="http://schemas.openxmlformats.org/officeDocument/2006/relationships/hyperlink" Target="mailto:qcormier22@gmail.com" TargetMode="External"/><Relationship Id="rId6" Type="http://schemas.openxmlformats.org/officeDocument/2006/relationships/hyperlink" Target="mailto:happecharlotte5@gmail.com" TargetMode="External"/><Relationship Id="rId11" Type="http://schemas.openxmlformats.org/officeDocument/2006/relationships/hyperlink" Target="mailto:selmaparis999@gmail.com" TargetMode="External"/><Relationship Id="rId24" Type="http://schemas.openxmlformats.org/officeDocument/2006/relationships/hyperlink" Target="mailto:caleane.caron@gmail.com" TargetMode="External"/><Relationship Id="rId32" Type="http://schemas.openxmlformats.org/officeDocument/2006/relationships/hyperlink" Target="mailto:jpierre.bertrand@laposte.net" TargetMode="External"/><Relationship Id="rId37" Type="http://schemas.openxmlformats.org/officeDocument/2006/relationships/hyperlink" Target="mailto:bgirlbarcelona@gmail.com" TargetMode="External"/><Relationship Id="rId40" Type="http://schemas.openxmlformats.org/officeDocument/2006/relationships/hyperlink" Target="mailto:clacoque@icloud.com" TargetMode="External"/><Relationship Id="rId45" Type="http://schemas.openxmlformats.org/officeDocument/2006/relationships/hyperlink" Target="mailto:saby-22@live.fr" TargetMode="External"/><Relationship Id="rId5" Type="http://schemas.openxmlformats.org/officeDocument/2006/relationships/hyperlink" Target="mailto:henrireglain@gmail.com" TargetMode="External"/><Relationship Id="rId15" Type="http://schemas.openxmlformats.org/officeDocument/2006/relationships/hyperlink" Target="mailto:braztristan@gmail.com" TargetMode="External"/><Relationship Id="rId23" Type="http://schemas.openxmlformats.org/officeDocument/2006/relationships/hyperlink" Target="mailto:mtay69@hotmail.com" TargetMode="External"/><Relationship Id="rId28" Type="http://schemas.openxmlformats.org/officeDocument/2006/relationships/hyperlink" Target="mailto:pr7.robert75@gmail.com" TargetMode="External"/><Relationship Id="rId36" Type="http://schemas.openxmlformats.org/officeDocument/2006/relationships/hyperlink" Target="mailto:cora_lee@live.fr" TargetMode="External"/><Relationship Id="rId10" Type="http://schemas.openxmlformats.org/officeDocument/2006/relationships/hyperlink" Target="mailto:oderet@gmail.com" TargetMode="External"/><Relationship Id="rId19" Type="http://schemas.openxmlformats.org/officeDocument/2006/relationships/hyperlink" Target="mailto:esthervarin@icloud.com" TargetMode="External"/><Relationship Id="rId31" Type="http://schemas.openxmlformats.org/officeDocument/2006/relationships/hyperlink" Target="mailto:shalemoussa@gmail.com" TargetMode="External"/><Relationship Id="rId44" Type="http://schemas.openxmlformats.org/officeDocument/2006/relationships/hyperlink" Target="mailto:sallioudoalto.alexia@gmail.com" TargetMode="External"/><Relationship Id="rId4" Type="http://schemas.openxmlformats.org/officeDocument/2006/relationships/hyperlink" Target="mailto:louisechmy@gmail.com" TargetMode="External"/><Relationship Id="rId9" Type="http://schemas.openxmlformats.org/officeDocument/2006/relationships/hyperlink" Target="mailto:plmondet.julie@gmail.com" TargetMode="External"/><Relationship Id="rId14" Type="http://schemas.openxmlformats.org/officeDocument/2006/relationships/hyperlink" Target="mailto:rose.messager24@gmail.com" TargetMode="External"/><Relationship Id="rId22" Type="http://schemas.openxmlformats.org/officeDocument/2006/relationships/hyperlink" Target="mailto:perigroberttropree@gmail.com" TargetMode="External"/><Relationship Id="rId27" Type="http://schemas.openxmlformats.org/officeDocument/2006/relationships/hyperlink" Target="mailto:celiacochard2@gmail.com" TargetMode="External"/><Relationship Id="rId30" Type="http://schemas.openxmlformats.org/officeDocument/2006/relationships/hyperlink" Target="mailto:marigrt21@gmail.com" TargetMode="External"/><Relationship Id="rId35" Type="http://schemas.openxmlformats.org/officeDocument/2006/relationships/hyperlink" Target="mailto:bangurafareed4@gmail.com" TargetMode="External"/><Relationship Id="rId43" Type="http://schemas.openxmlformats.org/officeDocument/2006/relationships/hyperlink" Target="mailto:yuyumen22@gmail.com" TargetMode="External"/><Relationship Id="rId8" Type="http://schemas.openxmlformats.org/officeDocument/2006/relationships/hyperlink" Target="mailto:erwansophieperon@orange.fr" TargetMode="External"/><Relationship Id="rId3" Type="http://schemas.openxmlformats.org/officeDocument/2006/relationships/hyperlink" Target="mailto:zacharia.bacar@laposte.net" TargetMode="External"/><Relationship Id="rId12" Type="http://schemas.openxmlformats.org/officeDocument/2006/relationships/hyperlink" Target="mailto:oillic.celine@wanadoo.fr" TargetMode="External"/><Relationship Id="rId17" Type="http://schemas.openxmlformats.org/officeDocument/2006/relationships/hyperlink" Target="mailto:liz.piriou@gmail.com" TargetMode="External"/><Relationship Id="rId25" Type="http://schemas.openxmlformats.org/officeDocument/2006/relationships/hyperlink" Target="mailto:clemencericwu@gmail.com" TargetMode="External"/><Relationship Id="rId33" Type="http://schemas.openxmlformats.org/officeDocument/2006/relationships/hyperlink" Target="mailto:nanou.schaal@gmail.com" TargetMode="External"/><Relationship Id="rId38" Type="http://schemas.openxmlformats.org/officeDocument/2006/relationships/hyperlink" Target="mailto:zicannemaria@yahoo.fr" TargetMode="External"/><Relationship Id="rId46" Type="http://schemas.openxmlformats.org/officeDocument/2006/relationships/hyperlink" Target="mailto:noambrindejoncregnault1415@gmail.com" TargetMode="External"/><Relationship Id="rId20" Type="http://schemas.openxmlformats.org/officeDocument/2006/relationships/hyperlink" Target="mailto:cess.fa28@gmail.com" TargetMode="External"/><Relationship Id="rId41" Type="http://schemas.openxmlformats.org/officeDocument/2006/relationships/hyperlink" Target="mailto:mimi91230@msn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34"/>
  <sheetViews>
    <sheetView topLeftCell="E1" workbookViewId="0">
      <selection activeCell="N21" sqref="N21"/>
    </sheetView>
  </sheetViews>
  <sheetFormatPr baseColWidth="10" defaultRowHeight="15"/>
  <cols>
    <col min="2" max="2" width="27.85546875" customWidth="1"/>
    <col min="10" max="10" width="39.85546875" bestFit="1" customWidth="1"/>
    <col min="11" max="13" width="7.140625" customWidth="1"/>
    <col min="14" max="14" width="10" customWidth="1"/>
    <col min="15" max="18" width="7.140625" customWidth="1"/>
    <col min="19" max="19" width="9.85546875" customWidth="1"/>
    <col min="20" max="20" width="7.140625" customWidth="1"/>
    <col min="21" max="23" width="7" customWidth="1"/>
    <col min="24" max="24" width="9.7109375" customWidth="1"/>
    <col min="25" max="25" width="7" customWidth="1"/>
  </cols>
  <sheetData>
    <row r="2" spans="2:25" ht="15.75" thickBot="1"/>
    <row r="3" spans="2:25" ht="15.75" thickBot="1">
      <c r="B3" s="420" t="s">
        <v>283</v>
      </c>
      <c r="C3" s="421"/>
      <c r="D3" s="421"/>
      <c r="E3" s="422"/>
    </row>
    <row r="4" spans="2:25" ht="15.75" thickBot="1">
      <c r="C4" s="210"/>
      <c r="D4" s="210"/>
    </row>
    <row r="5" spans="2:25" ht="15.75" thickBot="1">
      <c r="B5" s="182"/>
      <c r="C5" s="206" t="s">
        <v>258</v>
      </c>
      <c r="D5" s="181" t="s">
        <v>137</v>
      </c>
      <c r="K5" s="423" t="s">
        <v>288</v>
      </c>
      <c r="L5" s="424"/>
      <c r="M5" s="424"/>
      <c r="N5" s="424"/>
      <c r="O5" s="425"/>
      <c r="P5" s="426" t="s">
        <v>319</v>
      </c>
      <c r="Q5" s="427"/>
      <c r="R5" s="427"/>
      <c r="S5" s="427"/>
      <c r="T5" s="428"/>
      <c r="U5" s="429" t="s">
        <v>34</v>
      </c>
      <c r="V5" s="430"/>
      <c r="W5" s="430"/>
      <c r="X5" s="430"/>
      <c r="Y5" s="431"/>
    </row>
    <row r="6" spans="2:25" ht="16.5" thickBot="1">
      <c r="B6" s="153" t="s">
        <v>259</v>
      </c>
      <c r="C6" s="183">
        <f>COUNTIF(RECAP.JEUNES.2026!$L$6:L69,"f")</f>
        <v>31</v>
      </c>
      <c r="D6" s="225">
        <f>(C6/RECAP.JEUNES.2026!L66)*100</f>
        <v>60.784313725490193</v>
      </c>
      <c r="J6" s="294" t="s">
        <v>289</v>
      </c>
      <c r="K6" s="242" t="s">
        <v>18</v>
      </c>
      <c r="L6" s="243" t="s">
        <v>255</v>
      </c>
      <c r="M6" s="244" t="s">
        <v>19</v>
      </c>
      <c r="N6" s="228" t="s">
        <v>25</v>
      </c>
      <c r="O6" s="245" t="s">
        <v>20</v>
      </c>
      <c r="P6" s="289" t="s">
        <v>18</v>
      </c>
      <c r="Q6" s="290" t="s">
        <v>255</v>
      </c>
      <c r="R6" s="291" t="s">
        <v>19</v>
      </c>
      <c r="S6" s="292" t="s">
        <v>25</v>
      </c>
      <c r="T6" s="293" t="s">
        <v>20</v>
      </c>
      <c r="U6" s="328" t="s">
        <v>18</v>
      </c>
      <c r="V6" s="329" t="s">
        <v>255</v>
      </c>
      <c r="W6" s="330" t="s">
        <v>19</v>
      </c>
      <c r="X6" s="331" t="s">
        <v>25</v>
      </c>
      <c r="Y6" s="332" t="s">
        <v>20</v>
      </c>
    </row>
    <row r="7" spans="2:25">
      <c r="B7" s="153" t="s">
        <v>260</v>
      </c>
      <c r="C7" s="183">
        <f>COUNTIF(RECAP.JEUNES.2026!$L$6:L70,"h")</f>
        <v>20</v>
      </c>
      <c r="D7" s="225">
        <f>(C7/RECAP.JEUNES.2026!L66)*100</f>
        <v>39.215686274509807</v>
      </c>
      <c r="J7" s="295" t="s">
        <v>284</v>
      </c>
      <c r="K7" s="174"/>
      <c r="L7" s="159">
        <v>4</v>
      </c>
      <c r="M7" s="159"/>
      <c r="N7" s="186"/>
      <c r="O7" s="172">
        <f t="shared" ref="O7:O15" si="0">SUM(K7:N7)</f>
        <v>4</v>
      </c>
      <c r="P7" s="174"/>
      <c r="Q7" s="159">
        <v>4</v>
      </c>
      <c r="R7" s="159"/>
      <c r="S7" s="186"/>
      <c r="T7" s="172">
        <f t="shared" ref="T7:T14" si="1">SUM(P7:S7)</f>
        <v>4</v>
      </c>
      <c r="U7" s="174"/>
      <c r="V7" s="159">
        <v>4</v>
      </c>
      <c r="W7" s="159"/>
      <c r="X7" s="186"/>
      <c r="Y7" s="172">
        <f t="shared" ref="Y7:Y14" si="2">SUM(U7:X7)</f>
        <v>4</v>
      </c>
    </row>
    <row r="8" spans="2:25">
      <c r="J8" s="296" t="s">
        <v>29</v>
      </c>
      <c r="K8" s="175">
        <v>3</v>
      </c>
      <c r="L8" s="10">
        <v>6</v>
      </c>
      <c r="M8" s="10">
        <v>4</v>
      </c>
      <c r="N8" s="170"/>
      <c r="O8" s="173">
        <f t="shared" si="0"/>
        <v>13</v>
      </c>
      <c r="P8" s="175">
        <v>3</v>
      </c>
      <c r="Q8" s="10">
        <v>4</v>
      </c>
      <c r="R8" s="10"/>
      <c r="S8" s="170"/>
      <c r="T8" s="173">
        <f t="shared" si="1"/>
        <v>7</v>
      </c>
      <c r="U8" s="175">
        <v>3</v>
      </c>
      <c r="V8" s="10">
        <v>4</v>
      </c>
      <c r="W8" s="10"/>
      <c r="X8" s="170"/>
      <c r="Y8" s="173">
        <f t="shared" si="2"/>
        <v>7</v>
      </c>
    </row>
    <row r="9" spans="2:25">
      <c r="J9" s="296" t="s">
        <v>285</v>
      </c>
      <c r="K9" s="175">
        <v>7</v>
      </c>
      <c r="L9" s="10">
        <v>6</v>
      </c>
      <c r="M9" s="10">
        <v>78</v>
      </c>
      <c r="N9" s="170"/>
      <c r="O9" s="173">
        <f t="shared" si="0"/>
        <v>91</v>
      </c>
      <c r="P9" s="175">
        <v>4</v>
      </c>
      <c r="Q9" s="10">
        <v>6</v>
      </c>
      <c r="R9" s="10"/>
      <c r="S9" s="170"/>
      <c r="T9" s="173">
        <f t="shared" si="1"/>
        <v>10</v>
      </c>
      <c r="U9" s="175">
        <v>4</v>
      </c>
      <c r="V9" s="10">
        <v>6</v>
      </c>
      <c r="W9" s="10"/>
      <c r="X9" s="170"/>
      <c r="Y9" s="173">
        <f t="shared" si="2"/>
        <v>10</v>
      </c>
    </row>
    <row r="10" spans="2:25">
      <c r="J10" s="296" t="s">
        <v>286</v>
      </c>
      <c r="K10" s="175"/>
      <c r="L10" s="10"/>
      <c r="M10" s="10"/>
      <c r="N10" s="170"/>
      <c r="O10" s="173">
        <f t="shared" si="0"/>
        <v>0</v>
      </c>
      <c r="P10" s="175"/>
      <c r="Q10" s="10"/>
      <c r="R10" s="10"/>
      <c r="S10" s="170"/>
      <c r="T10" s="173">
        <f t="shared" si="1"/>
        <v>0</v>
      </c>
      <c r="U10" s="175"/>
      <c r="V10" s="10"/>
      <c r="W10" s="10"/>
      <c r="X10" s="170"/>
      <c r="Y10" s="173">
        <f t="shared" si="2"/>
        <v>0</v>
      </c>
    </row>
    <row r="11" spans="2:25">
      <c r="B11" s="302" t="s">
        <v>257</v>
      </c>
      <c r="C11" s="302"/>
      <c r="D11" s="302"/>
      <c r="J11" s="296" t="s">
        <v>287</v>
      </c>
      <c r="K11" s="175">
        <v>1</v>
      </c>
      <c r="L11" s="10">
        <v>1</v>
      </c>
      <c r="M11" s="10">
        <v>6</v>
      </c>
      <c r="N11" s="170"/>
      <c r="O11" s="173">
        <f t="shared" si="0"/>
        <v>8</v>
      </c>
      <c r="P11" s="175">
        <v>1</v>
      </c>
      <c r="Q11" s="10">
        <v>1</v>
      </c>
      <c r="R11" s="10"/>
      <c r="S11" s="170"/>
      <c r="T11" s="173">
        <f t="shared" si="1"/>
        <v>2</v>
      </c>
      <c r="U11" s="175">
        <v>1</v>
      </c>
      <c r="V11" s="10">
        <v>1</v>
      </c>
      <c r="W11" s="10"/>
      <c r="X11" s="170"/>
      <c r="Y11" s="173">
        <f t="shared" si="2"/>
        <v>2</v>
      </c>
    </row>
    <row r="12" spans="2:25">
      <c r="B12" s="182" t="s">
        <v>138</v>
      </c>
      <c r="C12" s="302">
        <f ca="1">COUNTIF(RECAP.JEUNES.2026!$M$6:M65,"14 ans")</f>
        <v>11</v>
      </c>
      <c r="D12" s="184">
        <f ca="1">(C12/RECAP.JEUNES.2026!$M$66)</f>
        <v>0.21568627450980393</v>
      </c>
      <c r="J12" s="296" t="s">
        <v>290</v>
      </c>
      <c r="K12" s="175"/>
      <c r="L12" s="10"/>
      <c r="M12" s="10">
        <v>8</v>
      </c>
      <c r="N12" s="170"/>
      <c r="O12" s="173">
        <f t="shared" si="0"/>
        <v>8</v>
      </c>
      <c r="P12" s="175"/>
      <c r="Q12" s="10"/>
      <c r="R12" s="10"/>
      <c r="S12" s="170"/>
      <c r="T12" s="173">
        <f t="shared" si="1"/>
        <v>0</v>
      </c>
      <c r="U12" s="175"/>
      <c r="V12" s="10"/>
      <c r="W12" s="10"/>
      <c r="X12" s="170"/>
      <c r="Y12" s="173">
        <f t="shared" si="2"/>
        <v>0</v>
      </c>
    </row>
    <row r="13" spans="2:25">
      <c r="B13" s="3" t="s">
        <v>139</v>
      </c>
      <c r="C13" s="302">
        <f ca="1">COUNTIF(RECAP.JEUNES.2026!$M$6:M66,"15 ans")</f>
        <v>11</v>
      </c>
      <c r="D13" s="184">
        <f ca="1">(C13/RECAP.JEUNES.2026!$M$66)</f>
        <v>0.21568627450980393</v>
      </c>
      <c r="J13" s="296" t="s">
        <v>366</v>
      </c>
      <c r="K13" s="175"/>
      <c r="L13" s="10"/>
      <c r="M13" s="10">
        <v>1</v>
      </c>
      <c r="N13" s="170"/>
      <c r="O13" s="173">
        <f t="shared" si="0"/>
        <v>1</v>
      </c>
      <c r="P13" s="175"/>
      <c r="Q13" s="10"/>
      <c r="R13" s="10"/>
      <c r="S13" s="170"/>
      <c r="T13" s="173">
        <f t="shared" si="1"/>
        <v>0</v>
      </c>
      <c r="U13" s="175"/>
      <c r="V13" s="10"/>
      <c r="W13" s="10"/>
      <c r="X13" s="170"/>
      <c r="Y13" s="173">
        <f t="shared" si="2"/>
        <v>0</v>
      </c>
    </row>
    <row r="14" spans="2:25">
      <c r="B14" s="3" t="s">
        <v>140</v>
      </c>
      <c r="C14" s="207">
        <f ca="1">COUNTIF(RECAP.JEUNES.2026!$M$6:M67,"16 ans")</f>
        <v>13</v>
      </c>
      <c r="D14" s="184">
        <f ca="1">(C14/RECAP.JEUNES.2026!$M$66)</f>
        <v>0.25490196078431371</v>
      </c>
      <c r="J14" s="297" t="s">
        <v>367</v>
      </c>
      <c r="K14" s="216"/>
      <c r="L14" s="217"/>
      <c r="M14" s="195">
        <v>5</v>
      </c>
      <c r="N14" s="298"/>
      <c r="O14" s="218">
        <f t="shared" si="0"/>
        <v>5</v>
      </c>
      <c r="P14" s="216"/>
      <c r="Q14" s="217"/>
      <c r="R14" s="217"/>
      <c r="S14" s="298"/>
      <c r="T14" s="218">
        <f t="shared" si="1"/>
        <v>0</v>
      </c>
      <c r="U14" s="216"/>
      <c r="V14" s="217"/>
      <c r="W14" s="217"/>
      <c r="X14" s="298"/>
      <c r="Y14" s="218">
        <f t="shared" si="2"/>
        <v>0</v>
      </c>
    </row>
    <row r="15" spans="2:25" ht="15.75" thickBot="1">
      <c r="B15" s="3" t="s">
        <v>141</v>
      </c>
      <c r="C15" s="207">
        <f ca="1">COUNTIF(RECAP.JEUNES.2026!$M$6:M68,"17 ans")</f>
        <v>11</v>
      </c>
      <c r="D15" s="184">
        <f ca="1">(C15/RECAP.JEUNES.2026!$M$66)</f>
        <v>0.21568627450980393</v>
      </c>
      <c r="J15" s="297" t="s">
        <v>443</v>
      </c>
      <c r="K15" s="216"/>
      <c r="L15" s="217"/>
      <c r="M15" s="195">
        <v>2</v>
      </c>
      <c r="N15" s="298"/>
      <c r="O15" s="218">
        <f t="shared" si="0"/>
        <v>2</v>
      </c>
      <c r="P15" s="216"/>
      <c r="Q15" s="217"/>
      <c r="R15" s="217"/>
      <c r="S15" s="298"/>
      <c r="T15" s="218"/>
      <c r="U15" s="216"/>
      <c r="V15" s="217"/>
      <c r="W15" s="217"/>
      <c r="X15" s="298"/>
      <c r="Y15" s="218"/>
    </row>
    <row r="16" spans="2:25" ht="15.75" thickBot="1">
      <c r="B16" s="3" t="s">
        <v>261</v>
      </c>
      <c r="C16" s="207">
        <f ca="1">COUNTIF(RECAP.JEUNES.2026!$M$6:M69,"18 ans")</f>
        <v>5</v>
      </c>
      <c r="D16" s="184">
        <f ca="1">(C16/RECAP.JEUNES.2026!$M$66)</f>
        <v>9.8039215686274508E-2</v>
      </c>
      <c r="J16" s="299" t="s">
        <v>20</v>
      </c>
      <c r="K16" s="300">
        <f>SUM(K7:K14)</f>
        <v>11</v>
      </c>
      <c r="L16" s="300">
        <f>SUM(L7:L14)</f>
        <v>17</v>
      </c>
      <c r="M16" s="300">
        <f>SUM(M7:M15)</f>
        <v>104</v>
      </c>
      <c r="N16" s="300">
        <f>SUM(N7:N14)</f>
        <v>0</v>
      </c>
      <c r="O16" s="300">
        <f>SUM(O7:O15)</f>
        <v>132</v>
      </c>
      <c r="P16" s="300">
        <f>SUM(P7:P14)</f>
        <v>8</v>
      </c>
      <c r="Q16" s="300">
        <f>SUM(Q7:Q14)</f>
        <v>15</v>
      </c>
      <c r="R16" s="300">
        <f>SUM(R7:R14)</f>
        <v>0</v>
      </c>
      <c r="S16" s="300">
        <f>SUM(S7:S14)</f>
        <v>0</v>
      </c>
      <c r="T16" s="300">
        <f>SUM(T7:T15)</f>
        <v>23</v>
      </c>
      <c r="U16" s="300">
        <f>SUM(U7:U14)</f>
        <v>8</v>
      </c>
      <c r="V16" s="300">
        <f>SUM(V7:V14)</f>
        <v>15</v>
      </c>
      <c r="W16" s="300">
        <f>SUM(W7:W14)</f>
        <v>0</v>
      </c>
      <c r="X16" s="300">
        <f>SUM(X7:X14)</f>
        <v>0</v>
      </c>
      <c r="Y16" s="300">
        <f>SUM(Y7:Y15)</f>
        <v>23</v>
      </c>
    </row>
    <row r="17" spans="2:15">
      <c r="B17" s="182"/>
      <c r="C17" s="185">
        <f ca="1">SUM(C12:C16)</f>
        <v>51</v>
      </c>
      <c r="D17" s="184">
        <f ca="1">SUM(D12:D16)</f>
        <v>1</v>
      </c>
    </row>
    <row r="18" spans="2:15" ht="15.75" thickBot="1"/>
    <row r="19" spans="2:15">
      <c r="J19" s="342" t="s">
        <v>320</v>
      </c>
      <c r="K19" s="343">
        <f>T16/O16</f>
        <v>0.17424242424242425</v>
      </c>
    </row>
    <row r="20" spans="2:15" ht="15.75" thickBot="1">
      <c r="J20" s="344" t="s">
        <v>321</v>
      </c>
      <c r="K20" s="345">
        <f>Y16/T16</f>
        <v>1</v>
      </c>
    </row>
    <row r="21" spans="2:15">
      <c r="B21" s="211"/>
      <c r="C21" s="212" t="s">
        <v>174</v>
      </c>
      <c r="D21" s="212" t="s">
        <v>172</v>
      </c>
      <c r="E21" s="212" t="s">
        <v>324</v>
      </c>
    </row>
    <row r="22" spans="2:15">
      <c r="B22" s="208" t="s">
        <v>318</v>
      </c>
      <c r="C22" s="181">
        <v>110</v>
      </c>
      <c r="D22" s="180">
        <f>RECAP.JEUNES.2026!K66</f>
        <v>44</v>
      </c>
      <c r="E22" s="180"/>
    </row>
    <row r="23" spans="2:15">
      <c r="B23" s="208" t="s">
        <v>267</v>
      </c>
      <c r="D23" s="181">
        <f>RECAP.JEUNES.2026!L66</f>
        <v>51</v>
      </c>
      <c r="E23" s="180"/>
      <c r="J23" s="182"/>
      <c r="K23" s="350" t="s">
        <v>18</v>
      </c>
      <c r="L23" s="350" t="s">
        <v>255</v>
      </c>
      <c r="M23" s="350" t="s">
        <v>19</v>
      </c>
      <c r="N23" s="350" t="s">
        <v>25</v>
      </c>
      <c r="O23" s="350" t="s">
        <v>20</v>
      </c>
    </row>
    <row r="24" spans="2:15">
      <c r="B24" s="208" t="s">
        <v>256</v>
      </c>
      <c r="C24" s="206">
        <v>40</v>
      </c>
      <c r="D24" s="180">
        <f>COUNTIFS(RECAP.JEUNES.2026!K6:K42,"&gt;0")</f>
        <v>12</v>
      </c>
      <c r="E24" s="180"/>
      <c r="J24" s="350" t="s">
        <v>333</v>
      </c>
      <c r="K24" s="350">
        <f>RECAP.JEUNES.2026!G67</f>
        <v>5</v>
      </c>
      <c r="L24" s="350">
        <f>RECAP.JEUNES.2026!H67</f>
        <v>8</v>
      </c>
      <c r="M24" s="350">
        <f>RECAP.JEUNES.2026!I67</f>
        <v>7</v>
      </c>
      <c r="N24" s="350">
        <f>RECAP.JEUNES.2026!J67</f>
        <v>0</v>
      </c>
      <c r="O24" s="350">
        <f>SUM(K24:N24)</f>
        <v>20</v>
      </c>
    </row>
    <row r="25" spans="2:15">
      <c r="B25" s="209" t="s">
        <v>176</v>
      </c>
      <c r="C25" s="339">
        <f>C22*15</f>
        <v>1650</v>
      </c>
      <c r="D25" s="305">
        <f>HIVER.RECAPJ!H11+AVRIL.RECAPJ!I14+ETE.RECAPJ!D27+OCTOBRE.RECAPJ!F27</f>
        <v>735</v>
      </c>
      <c r="E25" s="341">
        <f>D25/C25</f>
        <v>0.44545454545454544</v>
      </c>
      <c r="J25" s="350"/>
      <c r="K25" s="350"/>
      <c r="L25" s="350"/>
      <c r="M25" s="350"/>
      <c r="N25" s="350"/>
      <c r="O25" s="350"/>
    </row>
    <row r="26" spans="2:15">
      <c r="B26" s="209" t="s">
        <v>177</v>
      </c>
      <c r="C26" s="340">
        <v>550</v>
      </c>
      <c r="D26" s="305">
        <f>D22*5</f>
        <v>220</v>
      </c>
      <c r="E26" s="341">
        <f t="shared" ref="E26:E27" si="3">D26/C26</f>
        <v>0.4</v>
      </c>
    </row>
    <row r="27" spans="2:15">
      <c r="B27" s="209" t="s">
        <v>178</v>
      </c>
      <c r="C27" s="339">
        <v>1100</v>
      </c>
      <c r="D27" s="306">
        <f>D22*10</f>
        <v>440</v>
      </c>
      <c r="E27" s="341">
        <f t="shared" si="3"/>
        <v>0.4</v>
      </c>
    </row>
    <row r="28" spans="2:15">
      <c r="B28" s="182"/>
      <c r="C28" s="206"/>
      <c r="D28" s="206"/>
      <c r="E28" s="182"/>
    </row>
    <row r="30" spans="2:15">
      <c r="C30" s="210"/>
      <c r="D30" s="210"/>
    </row>
    <row r="31" spans="2:15">
      <c r="C31" s="210"/>
      <c r="D31" s="210"/>
    </row>
    <row r="32" spans="2:15">
      <c r="C32" s="210"/>
      <c r="D32" s="210"/>
    </row>
    <row r="33" spans="3:4">
      <c r="C33" s="210"/>
      <c r="D33" s="210"/>
    </row>
    <row r="34" spans="3:4">
      <c r="C34" s="210"/>
      <c r="D34" s="210"/>
    </row>
  </sheetData>
  <mergeCells count="4">
    <mergeCell ref="B3:E3"/>
    <mergeCell ref="K5:O5"/>
    <mergeCell ref="P5:T5"/>
    <mergeCell ref="U5:Y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9"/>
  <sheetViews>
    <sheetView workbookViewId="0">
      <selection activeCell="H71" sqref="H71"/>
    </sheetView>
  </sheetViews>
  <sheetFormatPr baseColWidth="10" defaultRowHeight="15"/>
  <cols>
    <col min="1" max="1" width="3.140625" customWidth="1"/>
    <col min="2" max="2" width="25.42578125" bestFit="1" customWidth="1"/>
    <col min="3" max="3" width="29.85546875" bestFit="1" customWidth="1"/>
    <col min="4" max="4" width="17.5703125" bestFit="1" customWidth="1"/>
    <col min="5" max="5" width="19.5703125" bestFit="1" customWidth="1"/>
    <col min="6" max="6" width="15" customWidth="1"/>
    <col min="7" max="7" width="9.7109375" customWidth="1"/>
    <col min="8" max="8" width="10.7109375" customWidth="1"/>
    <col min="9" max="9" width="9.5703125" style="210" customWidth="1"/>
    <col min="10" max="10" width="13.85546875" style="179" bestFit="1" customWidth="1"/>
    <col min="11" max="11" width="11.140625" bestFit="1" customWidth="1"/>
    <col min="12" max="12" width="11.42578125" style="210"/>
    <col min="13" max="13" width="15.5703125" style="210" customWidth="1"/>
    <col min="14" max="14" width="16.7109375" style="210" bestFit="1" customWidth="1"/>
    <col min="16" max="16" width="30" customWidth="1"/>
    <col min="17" max="17" width="12.42578125" style="210" bestFit="1" customWidth="1"/>
    <col min="18" max="18" width="12" style="210" bestFit="1" customWidth="1"/>
    <col min="19" max="19" width="35" customWidth="1"/>
  </cols>
  <sheetData>
    <row r="1" spans="1:14" ht="15.75" thickBot="1"/>
    <row r="2" spans="1:14" ht="18.75" thickBot="1">
      <c r="B2" s="435" t="s">
        <v>298</v>
      </c>
      <c r="C2" s="436"/>
      <c r="D2" s="436"/>
      <c r="E2" s="436"/>
      <c r="F2" s="437"/>
      <c r="G2" s="249"/>
      <c r="H2" s="249"/>
      <c r="I2" s="413"/>
      <c r="J2" s="249"/>
      <c r="K2" s="249"/>
      <c r="L2" s="231"/>
    </row>
    <row r="3" spans="1:14" ht="20.25" thickBot="1">
      <c r="B3" s="64"/>
      <c r="F3" s="64"/>
      <c r="G3" s="64"/>
      <c r="H3" s="64"/>
      <c r="I3" s="412"/>
      <c r="J3" s="178"/>
      <c r="K3" s="64"/>
      <c r="M3" s="213"/>
      <c r="N3" s="213"/>
    </row>
    <row r="4" spans="1:14" ht="15.75" thickBot="1">
      <c r="B4" s="169"/>
      <c r="C4" s="165"/>
      <c r="D4" s="165"/>
      <c r="E4" s="165"/>
      <c r="F4" s="169"/>
      <c r="G4" s="423" t="s">
        <v>34</v>
      </c>
      <c r="H4" s="424"/>
      <c r="I4" s="424"/>
      <c r="J4" s="424"/>
      <c r="K4" s="425"/>
    </row>
    <row r="5" spans="1:14" s="179" customFormat="1" ht="30.75" thickBot="1">
      <c r="B5" s="241" t="s">
        <v>266</v>
      </c>
      <c r="C5" s="229" t="s">
        <v>79</v>
      </c>
      <c r="D5" s="229" t="s">
        <v>53</v>
      </c>
      <c r="E5" s="230" t="s">
        <v>55</v>
      </c>
      <c r="F5" s="250" t="s">
        <v>17</v>
      </c>
      <c r="G5" s="242" t="s">
        <v>18</v>
      </c>
      <c r="H5" s="243" t="s">
        <v>255</v>
      </c>
      <c r="I5" s="244" t="s">
        <v>19</v>
      </c>
      <c r="J5" s="228" t="s">
        <v>25</v>
      </c>
      <c r="K5" s="245" t="s">
        <v>20</v>
      </c>
      <c r="L5" s="246" t="s">
        <v>265</v>
      </c>
      <c r="M5" s="247" t="s">
        <v>136</v>
      </c>
      <c r="N5" s="248" t="s">
        <v>179</v>
      </c>
    </row>
    <row r="6" spans="1:14" hidden="1">
      <c r="A6">
        <v>1</v>
      </c>
      <c r="B6" s="88" t="s">
        <v>127</v>
      </c>
      <c r="C6" s="387" t="s">
        <v>128</v>
      </c>
      <c r="D6" s="388" t="s">
        <v>201</v>
      </c>
      <c r="E6" s="388" t="s">
        <v>236</v>
      </c>
      <c r="F6" s="389">
        <v>39570</v>
      </c>
      <c r="G6" s="174"/>
      <c r="H6" s="159"/>
      <c r="I6" s="159"/>
      <c r="J6" s="186"/>
      <c r="K6" s="172">
        <f t="shared" ref="K6:K11" si="0">SUM(G6:J6)</f>
        <v>0</v>
      </c>
      <c r="L6" s="222" t="s">
        <v>135</v>
      </c>
      <c r="M6" s="222" t="str">
        <f t="shared" ref="M6:M11" ca="1" si="1">DATEDIF(F6,TODAY(),"Y")&amp;" ans"</f>
        <v>18 ans</v>
      </c>
      <c r="N6" s="236">
        <v>2025</v>
      </c>
    </row>
    <row r="7" spans="1:14" hidden="1">
      <c r="A7">
        <v>2</v>
      </c>
      <c r="B7" s="7" t="s">
        <v>102</v>
      </c>
      <c r="C7" s="160" t="s">
        <v>103</v>
      </c>
      <c r="D7" s="302"/>
      <c r="E7" s="302" t="s">
        <v>223</v>
      </c>
      <c r="F7" s="68">
        <v>39587</v>
      </c>
      <c r="G7" s="175"/>
      <c r="H7" s="10"/>
      <c r="I7" s="10"/>
      <c r="J7" s="170"/>
      <c r="K7" s="173">
        <f t="shared" si="0"/>
        <v>0</v>
      </c>
      <c r="L7" s="223" t="s">
        <v>134</v>
      </c>
      <c r="M7" s="223" t="str">
        <f t="shared" ca="1" si="1"/>
        <v>18 ans</v>
      </c>
      <c r="N7" s="237">
        <v>2025</v>
      </c>
    </row>
    <row r="8" spans="1:14" hidden="1">
      <c r="A8">
        <v>3</v>
      </c>
      <c r="B8" s="7" t="s">
        <v>64</v>
      </c>
      <c r="C8" s="168" t="s">
        <v>88</v>
      </c>
      <c r="D8" s="4" t="s">
        <v>199</v>
      </c>
      <c r="E8" s="4" t="s">
        <v>234</v>
      </c>
      <c r="F8" s="68">
        <v>39589</v>
      </c>
      <c r="G8" s="176">
        <v>1</v>
      </c>
      <c r="H8" s="10">
        <v>1</v>
      </c>
      <c r="I8" s="10"/>
      <c r="J8" s="170"/>
      <c r="K8" s="173">
        <f t="shared" si="0"/>
        <v>2</v>
      </c>
      <c r="L8" s="223" t="s">
        <v>135</v>
      </c>
      <c r="M8" s="223" t="str">
        <f t="shared" ca="1" si="1"/>
        <v>18 ans</v>
      </c>
      <c r="N8" s="237">
        <v>2025</v>
      </c>
    </row>
    <row r="9" spans="1:14" hidden="1">
      <c r="A9">
        <v>4</v>
      </c>
      <c r="B9" s="7" t="s">
        <v>57</v>
      </c>
      <c r="C9" s="168" t="s">
        <v>92</v>
      </c>
      <c r="D9" s="4" t="s">
        <v>197</v>
      </c>
      <c r="E9" s="4" t="s">
        <v>232</v>
      </c>
      <c r="F9" s="68">
        <v>39609</v>
      </c>
      <c r="G9" s="177"/>
      <c r="H9" s="302"/>
      <c r="I9" s="10"/>
      <c r="J9" s="170"/>
      <c r="K9" s="173">
        <f t="shared" si="0"/>
        <v>0</v>
      </c>
      <c r="L9" s="223" t="s">
        <v>134</v>
      </c>
      <c r="M9" s="223" t="str">
        <f t="shared" ca="1" si="1"/>
        <v>18 ans</v>
      </c>
      <c r="N9" s="237">
        <v>2025</v>
      </c>
    </row>
    <row r="10" spans="1:14" hidden="1">
      <c r="A10">
        <v>5</v>
      </c>
      <c r="B10" s="7" t="s">
        <v>123</v>
      </c>
      <c r="C10" s="160" t="s">
        <v>115</v>
      </c>
      <c r="D10" s="302" t="s">
        <v>206</v>
      </c>
      <c r="E10" s="302" t="s">
        <v>241</v>
      </c>
      <c r="F10" s="68">
        <v>39615</v>
      </c>
      <c r="G10" s="175"/>
      <c r="H10" s="10"/>
      <c r="I10" s="10"/>
      <c r="J10" s="170"/>
      <c r="K10" s="173">
        <f t="shared" si="0"/>
        <v>0</v>
      </c>
      <c r="L10" s="223" t="s">
        <v>134</v>
      </c>
      <c r="M10" s="223" t="str">
        <f t="shared" ca="1" si="1"/>
        <v>18 ans</v>
      </c>
      <c r="N10" s="237">
        <v>2025</v>
      </c>
    </row>
    <row r="11" spans="1:14" hidden="1">
      <c r="A11">
        <v>6</v>
      </c>
      <c r="B11" s="393" t="s">
        <v>166</v>
      </c>
      <c r="C11" s="394" t="s">
        <v>168</v>
      </c>
      <c r="D11" s="395" t="s">
        <v>213</v>
      </c>
      <c r="E11" s="395" t="s">
        <v>247</v>
      </c>
      <c r="F11" s="396">
        <v>39678</v>
      </c>
      <c r="G11" s="397">
        <v>1</v>
      </c>
      <c r="H11" s="398"/>
      <c r="I11" s="398"/>
      <c r="J11" s="399"/>
      <c r="K11" s="400">
        <f t="shared" si="0"/>
        <v>1</v>
      </c>
      <c r="L11" s="401" t="s">
        <v>134</v>
      </c>
      <c r="M11" s="401" t="str">
        <f t="shared" ca="1" si="1"/>
        <v>17 ans</v>
      </c>
      <c r="N11" s="402">
        <v>2026</v>
      </c>
    </row>
    <row r="12" spans="1:14">
      <c r="A12">
        <v>8</v>
      </c>
      <c r="B12" s="386" t="s">
        <v>72</v>
      </c>
      <c r="C12" s="168" t="s">
        <v>82</v>
      </c>
      <c r="D12" s="4" t="s">
        <v>214</v>
      </c>
      <c r="E12" s="4" t="s">
        <v>215</v>
      </c>
      <c r="F12" s="221">
        <v>40399</v>
      </c>
      <c r="G12" s="175"/>
      <c r="H12" s="10"/>
      <c r="I12" s="10"/>
      <c r="J12" s="170"/>
      <c r="K12" s="173">
        <f t="shared" ref="K12:K64" si="2">SUM(G12:J12)</f>
        <v>0</v>
      </c>
      <c r="L12" s="223" t="s">
        <v>134</v>
      </c>
      <c r="M12" s="223" t="str">
        <f t="shared" ref="M12:M56" ca="1" si="3">DATEDIF(F12,TODAY(),"Y")&amp;" ans"</f>
        <v>15 ans</v>
      </c>
      <c r="N12" s="237">
        <v>2025</v>
      </c>
    </row>
    <row r="13" spans="1:14">
      <c r="A13">
        <v>9</v>
      </c>
      <c r="B13" s="7" t="s">
        <v>162</v>
      </c>
      <c r="C13" s="160" t="s">
        <v>163</v>
      </c>
      <c r="D13" s="302" t="s">
        <v>211</v>
      </c>
      <c r="E13" s="302" t="s">
        <v>245</v>
      </c>
      <c r="F13" s="68">
        <v>40715</v>
      </c>
      <c r="G13" s="175"/>
      <c r="H13" s="10"/>
      <c r="I13" s="10"/>
      <c r="J13" s="170"/>
      <c r="K13" s="173">
        <f t="shared" si="2"/>
        <v>0</v>
      </c>
      <c r="L13" s="223" t="s">
        <v>134</v>
      </c>
      <c r="M13" s="223" t="str">
        <f t="shared" ca="1" si="3"/>
        <v>15 ans</v>
      </c>
      <c r="N13" s="237">
        <v>2026</v>
      </c>
    </row>
    <row r="14" spans="1:14">
      <c r="A14">
        <v>10</v>
      </c>
      <c r="B14" s="7" t="s">
        <v>170</v>
      </c>
      <c r="C14" s="160" t="s">
        <v>171</v>
      </c>
      <c r="D14" s="302" t="s">
        <v>309</v>
      </c>
      <c r="E14" s="302" t="s">
        <v>248</v>
      </c>
      <c r="F14" s="68">
        <v>39905</v>
      </c>
      <c r="G14" s="175"/>
      <c r="H14" s="10">
        <v>1</v>
      </c>
      <c r="I14" s="10"/>
      <c r="J14" s="170"/>
      <c r="K14" s="173">
        <f t="shared" si="2"/>
        <v>1</v>
      </c>
      <c r="L14" s="223" t="s">
        <v>134</v>
      </c>
      <c r="M14" s="223" t="str">
        <f t="shared" ca="1" si="3"/>
        <v>17 ans</v>
      </c>
      <c r="N14" s="237">
        <v>2026</v>
      </c>
    </row>
    <row r="15" spans="1:14">
      <c r="A15">
        <v>11</v>
      </c>
      <c r="B15" s="7" t="s">
        <v>173</v>
      </c>
      <c r="C15" s="160" t="s">
        <v>171</v>
      </c>
      <c r="D15" s="302"/>
      <c r="E15" s="302" t="s">
        <v>249</v>
      </c>
      <c r="F15" s="68">
        <v>40731</v>
      </c>
      <c r="G15" s="175"/>
      <c r="H15" s="10"/>
      <c r="I15" s="10"/>
      <c r="J15" s="170"/>
      <c r="K15" s="173">
        <f t="shared" si="2"/>
        <v>0</v>
      </c>
      <c r="L15" s="223" t="s">
        <v>134</v>
      </c>
      <c r="M15" s="223" t="str">
        <f t="shared" ca="1" si="3"/>
        <v>14 ans</v>
      </c>
      <c r="N15" s="237">
        <v>2026</v>
      </c>
    </row>
    <row r="16" spans="1:14">
      <c r="A16">
        <v>12</v>
      </c>
      <c r="B16" s="220" t="s">
        <v>423</v>
      </c>
      <c r="C16" s="160" t="s">
        <v>420</v>
      </c>
      <c r="D16" s="302" t="s">
        <v>421</v>
      </c>
      <c r="E16" s="302" t="s">
        <v>419</v>
      </c>
      <c r="F16" s="221">
        <v>40909</v>
      </c>
      <c r="G16" s="162"/>
      <c r="H16" s="302"/>
      <c r="I16" s="302">
        <v>4</v>
      </c>
      <c r="J16" s="227"/>
      <c r="K16" s="173">
        <f t="shared" si="2"/>
        <v>4</v>
      </c>
      <c r="L16" s="223" t="s">
        <v>135</v>
      </c>
      <c r="M16" s="223" t="str">
        <f t="shared" ca="1" si="3"/>
        <v>14 ans</v>
      </c>
      <c r="N16" s="238">
        <v>2026</v>
      </c>
    </row>
    <row r="17" spans="1:14">
      <c r="A17">
        <v>13</v>
      </c>
      <c r="B17" s="7" t="s">
        <v>100</v>
      </c>
      <c r="C17" s="160" t="s">
        <v>101</v>
      </c>
      <c r="D17" s="302" t="s">
        <v>183</v>
      </c>
      <c r="E17" s="302" t="s">
        <v>216</v>
      </c>
      <c r="F17" s="68">
        <v>39952</v>
      </c>
      <c r="G17" s="175"/>
      <c r="H17" s="10"/>
      <c r="I17" s="10"/>
      <c r="J17" s="170"/>
      <c r="K17" s="173">
        <f t="shared" si="2"/>
        <v>0</v>
      </c>
      <c r="L17" s="223" t="s">
        <v>134</v>
      </c>
      <c r="M17" s="223" t="str">
        <f t="shared" ca="1" si="3"/>
        <v>17 ans</v>
      </c>
      <c r="N17" s="237">
        <v>2025</v>
      </c>
    </row>
    <row r="18" spans="1:14">
      <c r="A18">
        <v>14</v>
      </c>
      <c r="B18" s="7" t="s">
        <v>125</v>
      </c>
      <c r="C18" s="160" t="s">
        <v>117</v>
      </c>
      <c r="D18" s="302" t="s">
        <v>182</v>
      </c>
      <c r="E18" s="302" t="s">
        <v>217</v>
      </c>
      <c r="F18" s="68">
        <v>39942</v>
      </c>
      <c r="G18" s="175"/>
      <c r="H18" s="10"/>
      <c r="I18" s="10"/>
      <c r="J18" s="170"/>
      <c r="K18" s="173">
        <f t="shared" si="2"/>
        <v>0</v>
      </c>
      <c r="L18" s="223" t="s">
        <v>135</v>
      </c>
      <c r="M18" s="223" t="str">
        <f t="shared" ca="1" si="3"/>
        <v>17 ans</v>
      </c>
      <c r="N18" s="237">
        <v>2025</v>
      </c>
    </row>
    <row r="19" spans="1:14">
      <c r="A19">
        <v>15</v>
      </c>
      <c r="B19" s="220" t="s">
        <v>180</v>
      </c>
      <c r="C19" s="160" t="s">
        <v>250</v>
      </c>
      <c r="D19" s="302" t="s">
        <v>181</v>
      </c>
      <c r="E19" s="302" t="s">
        <v>217</v>
      </c>
      <c r="F19" s="221">
        <v>40851</v>
      </c>
      <c r="G19" s="162"/>
      <c r="H19" s="302"/>
      <c r="I19" s="302"/>
      <c r="J19" s="227"/>
      <c r="K19" s="173">
        <f t="shared" si="2"/>
        <v>0</v>
      </c>
      <c r="L19" s="223" t="s">
        <v>135</v>
      </c>
      <c r="M19" s="223" t="str">
        <f t="shared" ca="1" si="3"/>
        <v>14 ans</v>
      </c>
      <c r="N19" s="238">
        <v>2026</v>
      </c>
    </row>
    <row r="20" spans="1:14">
      <c r="A20">
        <v>16</v>
      </c>
      <c r="B20" s="7" t="s">
        <v>149</v>
      </c>
      <c r="C20" s="160" t="s">
        <v>83</v>
      </c>
      <c r="D20" s="302" t="s">
        <v>184</v>
      </c>
      <c r="E20" s="302" t="s">
        <v>218</v>
      </c>
      <c r="F20" s="68">
        <v>40362</v>
      </c>
      <c r="G20" s="175">
        <v>3</v>
      </c>
      <c r="H20" s="10"/>
      <c r="I20" s="10"/>
      <c r="J20" s="170"/>
      <c r="K20" s="173">
        <f t="shared" si="2"/>
        <v>3</v>
      </c>
      <c r="L20" s="223" t="s">
        <v>135</v>
      </c>
      <c r="M20" s="223" t="str">
        <f t="shared" ca="1" si="3"/>
        <v>15 ans</v>
      </c>
      <c r="N20" s="237">
        <v>2025</v>
      </c>
    </row>
    <row r="21" spans="1:14">
      <c r="A21">
        <v>17</v>
      </c>
      <c r="B21" s="7" t="s">
        <v>129</v>
      </c>
      <c r="C21" s="160" t="s">
        <v>130</v>
      </c>
      <c r="D21" s="207" t="s">
        <v>209</v>
      </c>
      <c r="E21" s="207" t="s">
        <v>244</v>
      </c>
      <c r="F21" s="68">
        <v>40295</v>
      </c>
      <c r="G21" s="175">
        <v>2</v>
      </c>
      <c r="H21" s="10"/>
      <c r="I21" s="10"/>
      <c r="J21" s="170"/>
      <c r="K21" s="173">
        <f t="shared" si="2"/>
        <v>2</v>
      </c>
      <c r="L21" s="223" t="s">
        <v>135</v>
      </c>
      <c r="M21" s="223" t="str">
        <f t="shared" ca="1" si="3"/>
        <v>16 ans</v>
      </c>
      <c r="N21" s="237">
        <v>2025</v>
      </c>
    </row>
    <row r="22" spans="1:14">
      <c r="A22">
        <v>18</v>
      </c>
      <c r="B22" s="7" t="s">
        <v>78</v>
      </c>
      <c r="C22" s="160" t="s">
        <v>80</v>
      </c>
      <c r="D22" s="302" t="s">
        <v>185</v>
      </c>
      <c r="E22" s="302" t="s">
        <v>219</v>
      </c>
      <c r="F22" s="68">
        <v>39857</v>
      </c>
      <c r="G22" s="175"/>
      <c r="H22" s="10"/>
      <c r="I22" s="10"/>
      <c r="J22" s="170"/>
      <c r="K22" s="173">
        <f t="shared" si="2"/>
        <v>0</v>
      </c>
      <c r="L22" s="223" t="s">
        <v>135</v>
      </c>
      <c r="M22" s="223" t="str">
        <f t="shared" ca="1" si="3"/>
        <v>17 ans</v>
      </c>
      <c r="N22" s="237">
        <v>2025</v>
      </c>
    </row>
    <row r="23" spans="1:14">
      <c r="A23">
        <v>19</v>
      </c>
      <c r="B23" s="7" t="s">
        <v>121</v>
      </c>
      <c r="C23" s="160" t="s">
        <v>113</v>
      </c>
      <c r="D23" s="302" t="s">
        <v>186</v>
      </c>
      <c r="E23" s="302" t="s">
        <v>220</v>
      </c>
      <c r="F23" s="68">
        <v>40325</v>
      </c>
      <c r="G23" s="175"/>
      <c r="H23" s="10">
        <v>5</v>
      </c>
      <c r="I23" s="10"/>
      <c r="J23" s="170"/>
      <c r="K23" s="173">
        <f t="shared" si="2"/>
        <v>5</v>
      </c>
      <c r="L23" s="223" t="s">
        <v>134</v>
      </c>
      <c r="M23" s="223" t="str">
        <f t="shared" ca="1" si="3"/>
        <v>16 ans</v>
      </c>
      <c r="N23" s="237">
        <v>2025</v>
      </c>
    </row>
    <row r="24" spans="1:14">
      <c r="A24">
        <v>20</v>
      </c>
      <c r="B24" s="220" t="s">
        <v>325</v>
      </c>
      <c r="C24" s="160" t="s">
        <v>326</v>
      </c>
      <c r="D24" s="302"/>
      <c r="E24" s="302" t="s">
        <v>327</v>
      </c>
      <c r="F24" s="221">
        <v>40901</v>
      </c>
      <c r="G24" s="162"/>
      <c r="H24" s="302"/>
      <c r="I24" s="302"/>
      <c r="J24" s="227"/>
      <c r="K24" s="173">
        <f t="shared" si="2"/>
        <v>0</v>
      </c>
      <c r="L24" s="223" t="s">
        <v>135</v>
      </c>
      <c r="M24" s="223" t="str">
        <f t="shared" ca="1" si="3"/>
        <v>14 ans</v>
      </c>
      <c r="N24" s="238">
        <v>2026</v>
      </c>
    </row>
    <row r="25" spans="1:14">
      <c r="A25">
        <v>21</v>
      </c>
      <c r="B25" s="7" t="s">
        <v>110</v>
      </c>
      <c r="C25" s="160" t="s">
        <v>111</v>
      </c>
      <c r="D25" s="302" t="s">
        <v>187</v>
      </c>
      <c r="E25" s="302" t="s">
        <v>221</v>
      </c>
      <c r="F25" s="68">
        <v>40163</v>
      </c>
      <c r="G25" s="175"/>
      <c r="H25" s="10"/>
      <c r="I25" s="10"/>
      <c r="J25" s="170"/>
      <c r="K25" s="173">
        <f t="shared" si="2"/>
        <v>0</v>
      </c>
      <c r="L25" s="223" t="s">
        <v>135</v>
      </c>
      <c r="M25" s="223" t="str">
        <f t="shared" ca="1" si="3"/>
        <v>16 ans</v>
      </c>
      <c r="N25" s="237">
        <v>2025</v>
      </c>
    </row>
    <row r="26" spans="1:14">
      <c r="A26">
        <v>22</v>
      </c>
      <c r="B26" s="7" t="s">
        <v>35</v>
      </c>
      <c r="C26" s="168" t="s">
        <v>89</v>
      </c>
      <c r="D26" s="4" t="s">
        <v>188</v>
      </c>
      <c r="E26" s="4" t="s">
        <v>222</v>
      </c>
      <c r="F26" s="68">
        <v>40262</v>
      </c>
      <c r="G26" s="175"/>
      <c r="H26" s="10"/>
      <c r="I26" s="10"/>
      <c r="J26" s="170"/>
      <c r="K26" s="173">
        <f t="shared" si="2"/>
        <v>0</v>
      </c>
      <c r="L26" s="223" t="s">
        <v>135</v>
      </c>
      <c r="M26" s="223" t="str">
        <f t="shared" ca="1" si="3"/>
        <v>16 ans</v>
      </c>
      <c r="N26" s="237">
        <v>2025</v>
      </c>
    </row>
    <row r="27" spans="1:14">
      <c r="A27">
        <v>23</v>
      </c>
      <c r="B27" s="220" t="s">
        <v>398</v>
      </c>
      <c r="C27" s="160" t="s">
        <v>399</v>
      </c>
      <c r="D27" s="302" t="s">
        <v>400</v>
      </c>
      <c r="E27" s="302" t="s">
        <v>401</v>
      </c>
      <c r="F27" s="221">
        <v>41031</v>
      </c>
      <c r="G27" s="162"/>
      <c r="H27" s="302"/>
      <c r="I27" s="302">
        <v>5</v>
      </c>
      <c r="J27" s="227"/>
      <c r="K27" s="173">
        <f t="shared" si="2"/>
        <v>5</v>
      </c>
      <c r="L27" s="223" t="s">
        <v>135</v>
      </c>
      <c r="M27" s="223" t="str">
        <f t="shared" ca="1" si="3"/>
        <v>14 ans</v>
      </c>
      <c r="N27" s="238">
        <v>2026</v>
      </c>
    </row>
    <row r="28" spans="1:14">
      <c r="A28">
        <v>24</v>
      </c>
      <c r="B28" s="220" t="s">
        <v>406</v>
      </c>
      <c r="C28" s="160" t="s">
        <v>316</v>
      </c>
      <c r="D28" s="302"/>
      <c r="E28" s="302" t="s">
        <v>317</v>
      </c>
      <c r="F28" s="221">
        <v>40504</v>
      </c>
      <c r="G28" s="162"/>
      <c r="H28" s="302"/>
      <c r="I28" s="302"/>
      <c r="J28" s="227"/>
      <c r="K28" s="173">
        <f t="shared" si="2"/>
        <v>0</v>
      </c>
      <c r="L28" s="223" t="s">
        <v>134</v>
      </c>
      <c r="M28" s="223" t="str">
        <f t="shared" ca="1" si="3"/>
        <v>15 ans</v>
      </c>
      <c r="N28" s="238">
        <v>2026</v>
      </c>
    </row>
    <row r="29" spans="1:14">
      <c r="A29">
        <v>25</v>
      </c>
      <c r="B29" s="7" t="s">
        <v>109</v>
      </c>
      <c r="C29" s="302"/>
      <c r="D29" s="302" t="s">
        <v>189</v>
      </c>
      <c r="E29" s="302" t="s">
        <v>224</v>
      </c>
      <c r="F29" s="68">
        <v>40195</v>
      </c>
      <c r="G29" s="175"/>
      <c r="H29" s="10"/>
      <c r="I29" s="10"/>
      <c r="J29" s="170"/>
      <c r="K29" s="173">
        <f t="shared" si="2"/>
        <v>0</v>
      </c>
      <c r="L29" s="223" t="s">
        <v>134</v>
      </c>
      <c r="M29" s="223" t="str">
        <f t="shared" ca="1" si="3"/>
        <v>16 ans</v>
      </c>
      <c r="N29" s="237">
        <v>2025</v>
      </c>
    </row>
    <row r="30" spans="1:14">
      <c r="A30">
        <v>26</v>
      </c>
      <c r="B30" s="7" t="s">
        <v>33</v>
      </c>
      <c r="C30" s="168"/>
      <c r="D30" s="4" t="s">
        <v>190</v>
      </c>
      <c r="E30" s="4" t="s">
        <v>225</v>
      </c>
      <c r="F30" s="68">
        <v>40218</v>
      </c>
      <c r="G30" s="175"/>
      <c r="H30" s="10"/>
      <c r="I30" s="10"/>
      <c r="J30" s="170"/>
      <c r="K30" s="173">
        <f t="shared" si="2"/>
        <v>0</v>
      </c>
      <c r="L30" s="223" t="s">
        <v>135</v>
      </c>
      <c r="M30" s="223" t="str">
        <f t="shared" ca="1" si="3"/>
        <v>16 ans</v>
      </c>
      <c r="N30" s="237">
        <v>2025</v>
      </c>
    </row>
    <row r="31" spans="1:14">
      <c r="A31">
        <v>27</v>
      </c>
      <c r="B31" s="7" t="s">
        <v>68</v>
      </c>
      <c r="C31" s="168" t="s">
        <v>85</v>
      </c>
      <c r="D31" s="4" t="s">
        <v>191</v>
      </c>
      <c r="E31" s="4" t="s">
        <v>226</v>
      </c>
      <c r="F31" s="68">
        <v>40182</v>
      </c>
      <c r="G31" s="176"/>
      <c r="H31" s="14"/>
      <c r="I31" s="14"/>
      <c r="J31" s="171"/>
      <c r="K31" s="173">
        <f t="shared" si="2"/>
        <v>0</v>
      </c>
      <c r="L31" s="223" t="s">
        <v>135</v>
      </c>
      <c r="M31" s="223" t="str">
        <f t="shared" ca="1" si="3"/>
        <v>16 ans</v>
      </c>
      <c r="N31" s="237">
        <v>2025</v>
      </c>
    </row>
    <row r="32" spans="1:14">
      <c r="A32">
        <v>28</v>
      </c>
      <c r="B32" s="220" t="s">
        <v>394</v>
      </c>
      <c r="C32" s="160" t="s">
        <v>395</v>
      </c>
      <c r="D32" s="302" t="s">
        <v>396</v>
      </c>
      <c r="E32" s="302" t="s">
        <v>397</v>
      </c>
      <c r="F32" s="221">
        <v>40165</v>
      </c>
      <c r="G32" s="162"/>
      <c r="H32" s="302"/>
      <c r="I32" s="302"/>
      <c r="J32" s="227"/>
      <c r="K32" s="173">
        <f t="shared" si="2"/>
        <v>0</v>
      </c>
      <c r="L32" s="223" t="s">
        <v>135</v>
      </c>
      <c r="M32" s="223" t="str">
        <f t="shared" ca="1" si="3"/>
        <v>16 ans</v>
      </c>
      <c r="N32" s="238">
        <v>2026</v>
      </c>
    </row>
    <row r="33" spans="1:14">
      <c r="A33">
        <v>29</v>
      </c>
      <c r="B33" s="7" t="s">
        <v>69</v>
      </c>
      <c r="C33" s="168" t="s">
        <v>86</v>
      </c>
      <c r="D33" s="4" t="s">
        <v>192</v>
      </c>
      <c r="E33" s="141" t="s">
        <v>227</v>
      </c>
      <c r="F33" s="68">
        <v>40609</v>
      </c>
      <c r="G33" s="162"/>
      <c r="H33" s="10">
        <v>3</v>
      </c>
      <c r="I33" s="10"/>
      <c r="J33" s="170"/>
      <c r="K33" s="173">
        <f t="shared" si="2"/>
        <v>3</v>
      </c>
      <c r="L33" s="223" t="s">
        <v>135</v>
      </c>
      <c r="M33" s="223" t="str">
        <f t="shared" ca="1" si="3"/>
        <v>15 ans</v>
      </c>
      <c r="N33" s="237">
        <v>2025</v>
      </c>
    </row>
    <row r="34" spans="1:14">
      <c r="A34">
        <v>30</v>
      </c>
      <c r="B34" s="220" t="s">
        <v>402</v>
      </c>
      <c r="C34" s="160" t="s">
        <v>403</v>
      </c>
      <c r="D34" s="302" t="s">
        <v>404</v>
      </c>
      <c r="E34" s="302" t="s">
        <v>405</v>
      </c>
      <c r="F34" s="221">
        <v>40031</v>
      </c>
      <c r="G34" s="162"/>
      <c r="H34" s="302"/>
      <c r="I34" s="302"/>
      <c r="J34" s="227"/>
      <c r="K34" s="173">
        <f t="shared" si="2"/>
        <v>0</v>
      </c>
      <c r="L34" s="223" t="s">
        <v>135</v>
      </c>
      <c r="M34" s="223" t="str">
        <f t="shared" ca="1" si="3"/>
        <v>16 ans</v>
      </c>
      <c r="N34" s="238">
        <v>2026</v>
      </c>
    </row>
    <row r="35" spans="1:14">
      <c r="A35">
        <v>31</v>
      </c>
      <c r="B35" s="220" t="s">
        <v>251</v>
      </c>
      <c r="C35" s="160" t="s">
        <v>253</v>
      </c>
      <c r="D35" s="302" t="s">
        <v>252</v>
      </c>
      <c r="E35" s="302" t="s">
        <v>254</v>
      </c>
      <c r="F35" s="221">
        <v>40791</v>
      </c>
      <c r="G35" s="162"/>
      <c r="H35" s="302"/>
      <c r="I35" s="302"/>
      <c r="J35" s="227"/>
      <c r="K35" s="173">
        <f t="shared" si="2"/>
        <v>0</v>
      </c>
      <c r="L35" s="223" t="s">
        <v>134</v>
      </c>
      <c r="M35" s="223" t="str">
        <f t="shared" ca="1" si="3"/>
        <v>14 ans</v>
      </c>
      <c r="N35" s="238">
        <v>2026</v>
      </c>
    </row>
    <row r="36" spans="1:14">
      <c r="A36">
        <v>32</v>
      </c>
      <c r="B36" s="214" t="s">
        <v>262</v>
      </c>
      <c r="C36" s="196"/>
      <c r="D36" s="195" t="s">
        <v>263</v>
      </c>
      <c r="E36" s="195" t="s">
        <v>264</v>
      </c>
      <c r="F36" s="215">
        <v>40940</v>
      </c>
      <c r="G36" s="216"/>
      <c r="H36" s="195">
        <v>1</v>
      </c>
      <c r="I36" s="195"/>
      <c r="J36" s="298"/>
      <c r="K36" s="173">
        <f t="shared" si="2"/>
        <v>1</v>
      </c>
      <c r="L36" s="224" t="s">
        <v>135</v>
      </c>
      <c r="M36" s="223" t="str">
        <f t="shared" ca="1" si="3"/>
        <v>14 ans</v>
      </c>
      <c r="N36" s="238">
        <v>2026</v>
      </c>
    </row>
    <row r="37" spans="1:14">
      <c r="A37">
        <v>33</v>
      </c>
      <c r="B37" s="214" t="s">
        <v>334</v>
      </c>
      <c r="C37" s="196" t="s">
        <v>335</v>
      </c>
      <c r="D37" s="195" t="s">
        <v>336</v>
      </c>
      <c r="E37" s="195" t="s">
        <v>337</v>
      </c>
      <c r="F37" s="215">
        <v>41055</v>
      </c>
      <c r="G37" s="216"/>
      <c r="H37" s="195"/>
      <c r="I37" s="195">
        <v>3</v>
      </c>
      <c r="J37" s="298"/>
      <c r="K37" s="173">
        <f t="shared" si="2"/>
        <v>3</v>
      </c>
      <c r="L37" s="224" t="s">
        <v>134</v>
      </c>
      <c r="M37" s="223" t="str">
        <f t="shared" ca="1" si="3"/>
        <v>14 ans</v>
      </c>
      <c r="N37" s="238">
        <v>2026</v>
      </c>
    </row>
    <row r="38" spans="1:14">
      <c r="A38">
        <v>34</v>
      </c>
      <c r="B38" s="214" t="s">
        <v>407</v>
      </c>
      <c r="C38" s="196" t="s">
        <v>408</v>
      </c>
      <c r="D38" s="195" t="s">
        <v>409</v>
      </c>
      <c r="E38" s="195" t="s">
        <v>410</v>
      </c>
      <c r="F38" s="215">
        <v>41054</v>
      </c>
      <c r="G38" s="216"/>
      <c r="H38" s="195"/>
      <c r="I38" s="195"/>
      <c r="J38" s="298"/>
      <c r="K38" s="173">
        <f t="shared" si="2"/>
        <v>0</v>
      </c>
      <c r="L38" s="224" t="s">
        <v>135</v>
      </c>
      <c r="M38" s="223" t="str">
        <f t="shared" ca="1" si="3"/>
        <v>14 ans</v>
      </c>
      <c r="N38" s="238">
        <v>2026</v>
      </c>
    </row>
    <row r="39" spans="1:14">
      <c r="A39">
        <v>35</v>
      </c>
      <c r="B39" s="9" t="s">
        <v>31</v>
      </c>
      <c r="C39" s="226" t="s">
        <v>93</v>
      </c>
      <c r="D39" s="151" t="s">
        <v>193</v>
      </c>
      <c r="E39" s="151" t="s">
        <v>228</v>
      </c>
      <c r="F39" s="11">
        <v>40292</v>
      </c>
      <c r="G39" s="414"/>
      <c r="H39" s="151"/>
      <c r="I39" s="151"/>
      <c r="J39" s="198"/>
      <c r="K39" s="173">
        <f t="shared" si="2"/>
        <v>0</v>
      </c>
      <c r="L39" s="224" t="s">
        <v>135</v>
      </c>
      <c r="M39" s="223" t="str">
        <f t="shared" ca="1" si="3"/>
        <v>16 ans</v>
      </c>
      <c r="N39" s="237">
        <v>2025</v>
      </c>
    </row>
    <row r="40" spans="1:14">
      <c r="A40">
        <v>36</v>
      </c>
      <c r="B40" s="9" t="s">
        <v>56</v>
      </c>
      <c r="C40" s="226" t="s">
        <v>91</v>
      </c>
      <c r="D40" s="151" t="s">
        <v>194</v>
      </c>
      <c r="E40" s="390" t="s">
        <v>229</v>
      </c>
      <c r="F40" s="11">
        <v>40285</v>
      </c>
      <c r="G40" s="392"/>
      <c r="H40" s="195"/>
      <c r="I40" s="197"/>
      <c r="J40" s="198"/>
      <c r="K40" s="173">
        <f t="shared" si="2"/>
        <v>0</v>
      </c>
      <c r="L40" s="224" t="s">
        <v>134</v>
      </c>
      <c r="M40" s="223" t="str">
        <f t="shared" ca="1" si="3"/>
        <v>16 ans</v>
      </c>
      <c r="N40" s="237">
        <v>2025</v>
      </c>
    </row>
    <row r="41" spans="1:14">
      <c r="A41">
        <v>37</v>
      </c>
      <c r="B41" s="9" t="s">
        <v>54</v>
      </c>
      <c r="C41" s="226" t="s">
        <v>90</v>
      </c>
      <c r="D41" s="151" t="s">
        <v>195</v>
      </c>
      <c r="E41" s="390" t="s">
        <v>230</v>
      </c>
      <c r="F41" s="11">
        <v>40533</v>
      </c>
      <c r="G41" s="392"/>
      <c r="H41" s="195"/>
      <c r="I41" s="197"/>
      <c r="J41" s="198"/>
      <c r="K41" s="173">
        <f t="shared" si="2"/>
        <v>0</v>
      </c>
      <c r="L41" s="224" t="s">
        <v>135</v>
      </c>
      <c r="M41" s="223" t="str">
        <f t="shared" ca="1" si="3"/>
        <v>15 ans</v>
      </c>
      <c r="N41" s="237">
        <v>2025</v>
      </c>
    </row>
    <row r="42" spans="1:14">
      <c r="A42">
        <v>38</v>
      </c>
      <c r="B42" s="9" t="s">
        <v>70</v>
      </c>
      <c r="C42" s="226" t="s">
        <v>87</v>
      </c>
      <c r="D42" s="151" t="s">
        <v>196</v>
      </c>
      <c r="E42" s="390" t="s">
        <v>231</v>
      </c>
      <c r="F42" s="11">
        <v>40571</v>
      </c>
      <c r="G42" s="216"/>
      <c r="H42" s="197">
        <v>1</v>
      </c>
      <c r="I42" s="197"/>
      <c r="J42" s="198"/>
      <c r="K42" s="173">
        <f t="shared" si="2"/>
        <v>1</v>
      </c>
      <c r="L42" s="224" t="s">
        <v>135</v>
      </c>
      <c r="M42" s="223" t="str">
        <f t="shared" ca="1" si="3"/>
        <v>15 ans</v>
      </c>
      <c r="N42" s="237">
        <v>2025</v>
      </c>
    </row>
    <row r="43" spans="1:14">
      <c r="A43">
        <v>39</v>
      </c>
      <c r="B43" s="416" t="s">
        <v>99</v>
      </c>
      <c r="C43" s="160" t="s">
        <v>104</v>
      </c>
      <c r="D43" s="302" t="s">
        <v>198</v>
      </c>
      <c r="E43" s="302" t="s">
        <v>233</v>
      </c>
      <c r="F43" s="68">
        <v>39703</v>
      </c>
      <c r="G43" s="175"/>
      <c r="H43" s="14">
        <v>2</v>
      </c>
      <c r="I43" s="10"/>
      <c r="J43" s="10"/>
      <c r="K43" s="173">
        <f t="shared" si="2"/>
        <v>2</v>
      </c>
      <c r="L43" s="223" t="s">
        <v>135</v>
      </c>
      <c r="M43" s="223" t="str">
        <f t="shared" ca="1" si="3"/>
        <v>17 ans</v>
      </c>
      <c r="N43" s="237">
        <v>2025</v>
      </c>
    </row>
    <row r="44" spans="1:14">
      <c r="A44">
        <v>40</v>
      </c>
      <c r="B44" s="7" t="s">
        <v>77</v>
      </c>
      <c r="C44" s="160" t="s">
        <v>81</v>
      </c>
      <c r="D44" s="302" t="s">
        <v>200</v>
      </c>
      <c r="E44" s="302" t="s">
        <v>235</v>
      </c>
      <c r="F44" s="68">
        <v>39849</v>
      </c>
      <c r="G44" s="175"/>
      <c r="H44" s="10"/>
      <c r="I44" s="10"/>
      <c r="J44" s="10"/>
      <c r="K44" s="173">
        <f t="shared" si="2"/>
        <v>0</v>
      </c>
      <c r="L44" s="223" t="s">
        <v>134</v>
      </c>
      <c r="M44" s="223" t="str">
        <f t="shared" ca="1" si="3"/>
        <v>17 ans</v>
      </c>
      <c r="N44" s="237">
        <v>2025</v>
      </c>
    </row>
    <row r="45" spans="1:14">
      <c r="A45">
        <v>41</v>
      </c>
      <c r="B45" s="7" t="s">
        <v>122</v>
      </c>
      <c r="C45" s="160" t="s">
        <v>114</v>
      </c>
      <c r="D45" s="302" t="s">
        <v>202</v>
      </c>
      <c r="E45" s="302" t="s">
        <v>237</v>
      </c>
      <c r="F45" s="68">
        <v>40326</v>
      </c>
      <c r="G45" s="175"/>
      <c r="H45" s="10"/>
      <c r="I45" s="10"/>
      <c r="J45" s="10"/>
      <c r="K45" s="173">
        <f t="shared" si="2"/>
        <v>0</v>
      </c>
      <c r="L45" s="223" t="s">
        <v>135</v>
      </c>
      <c r="M45" s="223" t="str">
        <f t="shared" ca="1" si="3"/>
        <v>16 ans</v>
      </c>
      <c r="N45" s="237">
        <v>2025</v>
      </c>
    </row>
    <row r="46" spans="1:14">
      <c r="A46">
        <v>42</v>
      </c>
      <c r="B46" s="7" t="s">
        <v>67</v>
      </c>
      <c r="C46" s="168" t="s">
        <v>84</v>
      </c>
      <c r="D46" s="4" t="s">
        <v>203</v>
      </c>
      <c r="E46" s="4" t="s">
        <v>238</v>
      </c>
      <c r="F46" s="68">
        <v>39839</v>
      </c>
      <c r="G46" s="176"/>
      <c r="H46" s="14"/>
      <c r="I46" s="391"/>
      <c r="J46" s="391"/>
      <c r="K46" s="173">
        <f t="shared" si="2"/>
        <v>0</v>
      </c>
      <c r="L46" s="223" t="s">
        <v>134</v>
      </c>
      <c r="M46" s="223" t="str">
        <f t="shared" ca="1" si="3"/>
        <v>17 ans</v>
      </c>
      <c r="N46" s="237">
        <v>2025</v>
      </c>
    </row>
    <row r="47" spans="1:14">
      <c r="A47">
        <v>43</v>
      </c>
      <c r="B47" s="7" t="s">
        <v>71</v>
      </c>
      <c r="C47" s="4"/>
      <c r="D47" s="4" t="s">
        <v>204</v>
      </c>
      <c r="E47" s="4" t="s">
        <v>239</v>
      </c>
      <c r="F47" s="68">
        <v>40359</v>
      </c>
      <c r="G47" s="162"/>
      <c r="H47" s="10"/>
      <c r="I47" s="10"/>
      <c r="J47" s="10"/>
      <c r="K47" s="173">
        <f t="shared" si="2"/>
        <v>0</v>
      </c>
      <c r="L47" s="223" t="s">
        <v>134</v>
      </c>
      <c r="M47" s="223" t="str">
        <f t="shared" ca="1" si="3"/>
        <v>15 ans</v>
      </c>
      <c r="N47" s="237">
        <v>2025</v>
      </c>
    </row>
    <row r="48" spans="1:14">
      <c r="A48">
        <v>44</v>
      </c>
      <c r="B48" s="7" t="s">
        <v>126</v>
      </c>
      <c r="C48" s="160" t="s">
        <v>119</v>
      </c>
      <c r="D48" s="302" t="s">
        <v>205</v>
      </c>
      <c r="E48" s="302" t="s">
        <v>240</v>
      </c>
      <c r="F48" s="68">
        <v>39855</v>
      </c>
      <c r="G48" s="175"/>
      <c r="H48" s="10"/>
      <c r="I48" s="10"/>
      <c r="J48" s="10"/>
      <c r="K48" s="173">
        <f t="shared" si="2"/>
        <v>0</v>
      </c>
      <c r="L48" s="223" t="s">
        <v>135</v>
      </c>
      <c r="M48" s="223" t="str">
        <f t="shared" ca="1" si="3"/>
        <v>17 ans</v>
      </c>
      <c r="N48" s="237">
        <v>2025</v>
      </c>
    </row>
    <row r="49" spans="1:14">
      <c r="A49">
        <v>45</v>
      </c>
      <c r="B49" s="220" t="s">
        <v>338</v>
      </c>
      <c r="C49" s="160" t="s">
        <v>339</v>
      </c>
      <c r="D49" s="302" t="s">
        <v>340</v>
      </c>
      <c r="E49" s="302" t="s">
        <v>341</v>
      </c>
      <c r="F49" s="221">
        <v>40377</v>
      </c>
      <c r="G49" s="162"/>
      <c r="H49" s="302"/>
      <c r="I49" s="302"/>
      <c r="J49" s="181"/>
      <c r="K49" s="173">
        <f t="shared" si="2"/>
        <v>0</v>
      </c>
      <c r="L49" s="223" t="s">
        <v>135</v>
      </c>
      <c r="M49" s="223" t="str">
        <f t="shared" ca="1" si="3"/>
        <v>15 ans</v>
      </c>
      <c r="N49" s="238">
        <v>2026</v>
      </c>
    </row>
    <row r="50" spans="1:14">
      <c r="A50">
        <v>46</v>
      </c>
      <c r="B50" s="7" t="s">
        <v>160</v>
      </c>
      <c r="C50" s="160" t="s">
        <v>175</v>
      </c>
      <c r="D50" s="302" t="s">
        <v>210</v>
      </c>
      <c r="E50" s="302" t="s">
        <v>210</v>
      </c>
      <c r="F50" s="68">
        <v>40950</v>
      </c>
      <c r="G50" s="175">
        <v>1</v>
      </c>
      <c r="H50" s="10">
        <v>1</v>
      </c>
      <c r="I50" s="10"/>
      <c r="J50" s="10"/>
      <c r="K50" s="218">
        <f t="shared" si="2"/>
        <v>2</v>
      </c>
      <c r="L50" s="223" t="s">
        <v>134</v>
      </c>
      <c r="M50" s="223" t="str">
        <f t="shared" ca="1" si="3"/>
        <v>14 ans</v>
      </c>
      <c r="N50" s="237">
        <v>2026</v>
      </c>
    </row>
    <row r="51" spans="1:14">
      <c r="A51">
        <v>47</v>
      </c>
      <c r="B51" s="7" t="s">
        <v>164</v>
      </c>
      <c r="C51" s="160" t="s">
        <v>165</v>
      </c>
      <c r="D51" s="206" t="s">
        <v>212</v>
      </c>
      <c r="E51" s="206" t="s">
        <v>246</v>
      </c>
      <c r="F51" s="68">
        <v>40442</v>
      </c>
      <c r="G51" s="175"/>
      <c r="H51" s="10"/>
      <c r="I51" s="10">
        <v>2</v>
      </c>
      <c r="J51" s="10"/>
      <c r="K51" s="218">
        <f t="shared" si="2"/>
        <v>2</v>
      </c>
      <c r="L51" s="223" t="s">
        <v>135</v>
      </c>
      <c r="M51" s="223" t="str">
        <f t="shared" ca="1" si="3"/>
        <v>15 ans</v>
      </c>
      <c r="N51" s="237">
        <v>2026</v>
      </c>
    </row>
    <row r="52" spans="1:14">
      <c r="A52">
        <v>48</v>
      </c>
      <c r="B52" s="220" t="s">
        <v>422</v>
      </c>
      <c r="C52" s="160" t="s">
        <v>417</v>
      </c>
      <c r="D52" s="206" t="s">
        <v>418</v>
      </c>
      <c r="E52" s="206" t="s">
        <v>419</v>
      </c>
      <c r="F52" s="221">
        <v>39731</v>
      </c>
      <c r="G52" s="162"/>
      <c r="H52" s="302"/>
      <c r="I52" s="302">
        <v>5</v>
      </c>
      <c r="J52" s="181"/>
      <c r="K52" s="218">
        <f t="shared" si="2"/>
        <v>5</v>
      </c>
      <c r="L52" s="223" t="s">
        <v>135</v>
      </c>
      <c r="M52" s="223" t="str">
        <f t="shared" ca="1" si="3"/>
        <v>17 ans</v>
      </c>
      <c r="N52" s="238">
        <v>2026</v>
      </c>
    </row>
    <row r="53" spans="1:14">
      <c r="A53">
        <v>49</v>
      </c>
      <c r="B53" s="220" t="s">
        <v>328</v>
      </c>
      <c r="C53" s="160" t="s">
        <v>329</v>
      </c>
      <c r="D53" s="206" t="s">
        <v>330</v>
      </c>
      <c r="E53" s="206" t="s">
        <v>331</v>
      </c>
      <c r="F53" s="221">
        <v>40611</v>
      </c>
      <c r="G53" s="162"/>
      <c r="H53" s="302"/>
      <c r="I53" s="302">
        <v>2</v>
      </c>
      <c r="J53" s="181"/>
      <c r="K53" s="218">
        <f t="shared" si="2"/>
        <v>2</v>
      </c>
      <c r="L53" s="223" t="s">
        <v>135</v>
      </c>
      <c r="M53" s="223" t="str">
        <f t="shared" ca="1" si="3"/>
        <v>15 ans</v>
      </c>
      <c r="N53" s="238">
        <v>2026</v>
      </c>
    </row>
    <row r="54" spans="1:14">
      <c r="A54">
        <v>50</v>
      </c>
      <c r="B54" s="7" t="s">
        <v>124</v>
      </c>
      <c r="C54" s="160" t="s">
        <v>116</v>
      </c>
      <c r="D54" s="206" t="s">
        <v>207</v>
      </c>
      <c r="E54" s="206" t="s">
        <v>242</v>
      </c>
      <c r="F54" s="68">
        <v>40268</v>
      </c>
      <c r="G54" s="175"/>
      <c r="H54" s="10"/>
      <c r="I54" s="10"/>
      <c r="J54" s="10"/>
      <c r="K54" s="218">
        <f t="shared" si="2"/>
        <v>0</v>
      </c>
      <c r="L54" s="223" t="s">
        <v>135</v>
      </c>
      <c r="M54" s="223" t="str">
        <f t="shared" ca="1" si="3"/>
        <v>16 ans</v>
      </c>
      <c r="N54" s="237">
        <v>2025</v>
      </c>
    </row>
    <row r="55" spans="1:14">
      <c r="A55">
        <v>51</v>
      </c>
      <c r="B55" s="7" t="s">
        <v>120</v>
      </c>
      <c r="C55" s="160" t="s">
        <v>112</v>
      </c>
      <c r="D55" s="207" t="s">
        <v>208</v>
      </c>
      <c r="E55" s="207" t="s">
        <v>243</v>
      </c>
      <c r="F55" s="68">
        <v>39817</v>
      </c>
      <c r="G55" s="175"/>
      <c r="H55" s="10"/>
      <c r="I55" s="10"/>
      <c r="J55" s="10"/>
      <c r="K55" s="218">
        <f t="shared" si="2"/>
        <v>0</v>
      </c>
      <c r="L55" s="223" t="s">
        <v>135</v>
      </c>
      <c r="M55" s="223" t="str">
        <f t="shared" ca="1" si="3"/>
        <v>17 ans</v>
      </c>
      <c r="N55" s="237">
        <v>2025</v>
      </c>
    </row>
    <row r="56" spans="1:14">
      <c r="A56">
        <v>52</v>
      </c>
      <c r="B56" s="9" t="s">
        <v>428</v>
      </c>
      <c r="C56" s="196" t="s">
        <v>431</v>
      </c>
      <c r="D56" s="195" t="s">
        <v>429</v>
      </c>
      <c r="E56" s="195" t="s">
        <v>430</v>
      </c>
      <c r="F56" s="11">
        <v>41068</v>
      </c>
      <c r="G56" s="418"/>
      <c r="H56" s="197"/>
      <c r="I56" s="197">
        <v>5</v>
      </c>
      <c r="J56" s="197"/>
      <c r="K56" s="218">
        <f t="shared" si="2"/>
        <v>5</v>
      </c>
      <c r="L56" s="224" t="s">
        <v>134</v>
      </c>
      <c r="M56" s="223" t="str">
        <f t="shared" ca="1" si="3"/>
        <v>14 ans</v>
      </c>
      <c r="N56" s="419">
        <v>2026</v>
      </c>
    </row>
    <row r="57" spans="1:14">
      <c r="A57">
        <v>53</v>
      </c>
      <c r="B57" s="9"/>
      <c r="C57" s="196"/>
      <c r="D57" s="195"/>
      <c r="E57" s="195"/>
      <c r="F57" s="11"/>
      <c r="G57" s="418"/>
      <c r="H57" s="197"/>
      <c r="I57" s="197"/>
      <c r="J57" s="197"/>
      <c r="K57" s="218">
        <f t="shared" si="2"/>
        <v>0</v>
      </c>
      <c r="L57" s="224"/>
      <c r="M57" s="223"/>
      <c r="N57" s="419"/>
    </row>
    <row r="58" spans="1:14">
      <c r="A58">
        <v>54</v>
      </c>
      <c r="B58" s="9"/>
      <c r="C58" s="196"/>
      <c r="D58" s="195"/>
      <c r="E58" s="195"/>
      <c r="F58" s="11"/>
      <c r="G58" s="418"/>
      <c r="H58" s="197"/>
      <c r="I58" s="197"/>
      <c r="J58" s="197"/>
      <c r="K58" s="218">
        <f t="shared" si="2"/>
        <v>0</v>
      </c>
      <c r="L58" s="224"/>
      <c r="M58" s="223"/>
      <c r="N58" s="419"/>
    </row>
    <row r="59" spans="1:14">
      <c r="A59">
        <v>55</v>
      </c>
      <c r="B59" s="9"/>
      <c r="C59" s="196"/>
      <c r="D59" s="195"/>
      <c r="E59" s="195"/>
      <c r="F59" s="11"/>
      <c r="G59" s="418"/>
      <c r="H59" s="197"/>
      <c r="I59" s="197"/>
      <c r="J59" s="197"/>
      <c r="K59" s="218">
        <f t="shared" si="2"/>
        <v>0</v>
      </c>
      <c r="L59" s="224"/>
      <c r="M59" s="223"/>
      <c r="N59" s="419"/>
    </row>
    <row r="60" spans="1:14">
      <c r="A60">
        <v>56</v>
      </c>
      <c r="B60" s="9"/>
      <c r="C60" s="196"/>
      <c r="D60" s="195"/>
      <c r="E60" s="195"/>
      <c r="F60" s="11"/>
      <c r="G60" s="418"/>
      <c r="H60" s="197"/>
      <c r="I60" s="197"/>
      <c r="J60" s="197"/>
      <c r="K60" s="218">
        <f t="shared" si="2"/>
        <v>0</v>
      </c>
      <c r="L60" s="224"/>
      <c r="M60" s="223"/>
      <c r="N60" s="419"/>
    </row>
    <row r="61" spans="1:14">
      <c r="A61">
        <v>57</v>
      </c>
      <c r="B61" s="9"/>
      <c r="C61" s="196"/>
      <c r="D61" s="195"/>
      <c r="E61" s="195"/>
      <c r="F61" s="11"/>
      <c r="G61" s="418"/>
      <c r="H61" s="197"/>
      <c r="I61" s="197"/>
      <c r="J61" s="197"/>
      <c r="K61" s="218">
        <f t="shared" si="2"/>
        <v>0</v>
      </c>
      <c r="L61" s="224"/>
      <c r="M61" s="223"/>
      <c r="N61" s="419"/>
    </row>
    <row r="62" spans="1:14">
      <c r="A62">
        <v>58</v>
      </c>
      <c r="B62" s="9"/>
      <c r="C62" s="196"/>
      <c r="D62" s="195"/>
      <c r="E62" s="195"/>
      <c r="F62" s="11"/>
      <c r="G62" s="418"/>
      <c r="H62" s="197"/>
      <c r="I62" s="197"/>
      <c r="J62" s="197"/>
      <c r="K62" s="218">
        <f t="shared" si="2"/>
        <v>0</v>
      </c>
      <c r="L62" s="224"/>
      <c r="M62" s="223"/>
      <c r="N62" s="419"/>
    </row>
    <row r="63" spans="1:14">
      <c r="A63">
        <v>59</v>
      </c>
      <c r="B63" s="9"/>
      <c r="C63" s="196"/>
      <c r="D63" s="195"/>
      <c r="E63" s="195"/>
      <c r="F63" s="11"/>
      <c r="G63" s="418"/>
      <c r="H63" s="197"/>
      <c r="I63" s="197"/>
      <c r="J63" s="197"/>
      <c r="K63" s="218">
        <f t="shared" si="2"/>
        <v>0</v>
      </c>
      <c r="L63" s="224"/>
      <c r="M63" s="223"/>
      <c r="N63" s="419"/>
    </row>
    <row r="64" spans="1:14">
      <c r="A64">
        <v>60</v>
      </c>
      <c r="B64" s="214"/>
      <c r="C64" s="196"/>
      <c r="D64" s="195"/>
      <c r="E64" s="195"/>
      <c r="F64" s="215"/>
      <c r="G64" s="216"/>
      <c r="H64" s="195"/>
      <c r="I64" s="195"/>
      <c r="J64" s="219"/>
      <c r="K64" s="218">
        <f t="shared" si="2"/>
        <v>0</v>
      </c>
      <c r="L64" s="224"/>
      <c r="M64" s="223"/>
      <c r="N64" s="239"/>
    </row>
    <row r="65" spans="2:14" ht="15.75" thickBot="1">
      <c r="B65" s="165"/>
      <c r="C65" s="232"/>
      <c r="D65" s="231"/>
      <c r="E65" s="231"/>
      <c r="F65" s="233"/>
      <c r="G65" s="165"/>
      <c r="H65" s="165"/>
      <c r="I65" s="231"/>
      <c r="J65" s="234"/>
      <c r="K65" s="235"/>
      <c r="L65" s="231"/>
      <c r="M65" s="231"/>
      <c r="N65" s="240"/>
    </row>
    <row r="66" spans="2:14">
      <c r="B66" s="432" t="s">
        <v>332</v>
      </c>
      <c r="C66" s="433"/>
      <c r="D66" s="433"/>
      <c r="E66" s="433"/>
      <c r="F66" s="434"/>
      <c r="G66" s="346">
        <f>SUM(G6:G55)</f>
        <v>8</v>
      </c>
      <c r="H66" s="346">
        <f>SUM(H6:H64)</f>
        <v>15</v>
      </c>
      <c r="I66" s="346">
        <f t="shared" ref="I66:J66" si="4">SUM(I6:I64)</f>
        <v>26</v>
      </c>
      <c r="J66" s="346">
        <f t="shared" si="4"/>
        <v>0</v>
      </c>
      <c r="K66" s="346">
        <f>SUM(K6:K55)</f>
        <v>44</v>
      </c>
      <c r="L66" s="346">
        <f>COUNTA(L6:L65)</f>
        <v>51</v>
      </c>
      <c r="M66" s="346">
        <f ca="1">COUNTA(M6:M65)</f>
        <v>51</v>
      </c>
      <c r="N66" s="347"/>
    </row>
    <row r="67" spans="2:14" ht="15.75" thickBot="1">
      <c r="B67" s="438" t="s">
        <v>333</v>
      </c>
      <c r="C67" s="439"/>
      <c r="D67" s="439"/>
      <c r="E67" s="439"/>
      <c r="F67" s="440"/>
      <c r="G67" s="348">
        <f>COUNTA(G6:G64)</f>
        <v>5</v>
      </c>
      <c r="H67" s="348">
        <f>COUNTA(H6:H64)</f>
        <v>8</v>
      </c>
      <c r="I67" s="348">
        <f>COUNTA(I6:I64)</f>
        <v>7</v>
      </c>
      <c r="J67" s="348">
        <f t="shared" ref="I67:J67" si="5">COUNTA(J6:J55)</f>
        <v>0</v>
      </c>
      <c r="K67" s="348">
        <f>COUNTIF(K6:K64,"&gt;0")</f>
        <v>18</v>
      </c>
      <c r="L67" s="348"/>
      <c r="M67" s="348"/>
      <c r="N67" s="349"/>
    </row>
    <row r="68" spans="2:14">
      <c r="F68" s="5"/>
    </row>
    <row r="69" spans="2:14">
      <c r="F69" s="5"/>
    </row>
  </sheetData>
  <autoFilter ref="B5:N55">
    <sortState ref="B12:N55">
      <sortCondition ref="B5:B55"/>
    </sortState>
  </autoFilter>
  <sortState ref="B5:K35">
    <sortCondition ref="B5:B35"/>
  </sortState>
  <mergeCells count="4">
    <mergeCell ref="B66:F66"/>
    <mergeCell ref="G4:K4"/>
    <mergeCell ref="B2:F2"/>
    <mergeCell ref="B67:F67"/>
  </mergeCells>
  <conditionalFormatting sqref="K6:K65">
    <cfRule type="cellIs" dxfId="3" priority="8" operator="greaterThanOrEqual">
      <formula>5</formula>
    </cfRule>
  </conditionalFormatting>
  <conditionalFormatting sqref="F3:F65 F68:F1048576">
    <cfRule type="expression" dxfId="2" priority="4">
      <formula>DATEDIF($F$6:$F$78, TODAY(), "Y") &gt; 18</formula>
    </cfRule>
  </conditionalFormatting>
  <conditionalFormatting sqref="M68:M1048576 M1:M66">
    <cfRule type="cellIs" dxfId="1" priority="3" operator="equal">
      <formula>"18 ans"</formula>
    </cfRule>
  </conditionalFormatting>
  <conditionalFormatting sqref="M67">
    <cfRule type="cellIs" dxfId="0" priority="2" operator="equal">
      <formula>"18 ans"</formula>
    </cfRule>
  </conditionalFormatting>
  <hyperlinks>
    <hyperlink ref="C22" r:id="rId1"/>
    <hyperlink ref="C44" r:id="rId2"/>
    <hyperlink ref="C12" r:id="rId3"/>
    <hyperlink ref="C20" r:id="rId4"/>
    <hyperlink ref="C46" r:id="rId5"/>
    <hyperlink ref="C31" r:id="rId6"/>
    <hyperlink ref="C33" r:id="rId7"/>
    <hyperlink ref="C42" r:id="rId8"/>
    <hyperlink ref="C8" r:id="rId9"/>
    <hyperlink ref="C26" r:id="rId10"/>
    <hyperlink ref="C41" r:id="rId11"/>
    <hyperlink ref="C40" r:id="rId12"/>
    <hyperlink ref="C9" r:id="rId13"/>
    <hyperlink ref="C39" r:id="rId14"/>
    <hyperlink ref="C17" r:id="rId15"/>
    <hyperlink ref="C7" r:id="rId16"/>
    <hyperlink ref="C43" r:id="rId17"/>
    <hyperlink ref="C25" r:id="rId18"/>
    <hyperlink ref="C55" r:id="rId19"/>
    <hyperlink ref="C23" r:id="rId20"/>
    <hyperlink ref="C45" r:id="rId21"/>
    <hyperlink ref="C10" r:id="rId22"/>
    <hyperlink ref="C54" r:id="rId23"/>
    <hyperlink ref="C18" r:id="rId24"/>
    <hyperlink ref="C48" r:id="rId25"/>
    <hyperlink ref="C6" r:id="rId26"/>
    <hyperlink ref="C21" r:id="rId27"/>
    <hyperlink ref="C50" r:id="rId28"/>
    <hyperlink ref="C13" r:id="rId29"/>
    <hyperlink ref="C51" r:id="rId30"/>
    <hyperlink ref="C11" r:id="rId31"/>
    <hyperlink ref="C14" r:id="rId32"/>
    <hyperlink ref="C19" r:id="rId33"/>
    <hyperlink ref="C35" r:id="rId34"/>
    <hyperlink ref="C28" r:id="rId35"/>
    <hyperlink ref="C24" r:id="rId36"/>
    <hyperlink ref="C53" r:id="rId37"/>
    <hyperlink ref="C37" r:id="rId38"/>
    <hyperlink ref="C49" r:id="rId39"/>
    <hyperlink ref="C32" r:id="rId40"/>
    <hyperlink ref="C27" r:id="rId41"/>
    <hyperlink ref="C34" r:id="rId42"/>
    <hyperlink ref="C38" r:id="rId43"/>
    <hyperlink ref="C52" r:id="rId44"/>
    <hyperlink ref="C16" r:id="rId45"/>
    <hyperlink ref="C56" r:id="rId46"/>
  </hyperlinks>
  <pageMargins left="0.25" right="0.25" top="0.75" bottom="0.75" header="0.3" footer="0.3"/>
  <pageSetup paperSize="9" scale="80" fitToWidth="0" orientation="portrait" r:id="rId4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1"/>
  <sheetViews>
    <sheetView workbookViewId="0">
      <selection activeCell="C27" sqref="C27"/>
    </sheetView>
  </sheetViews>
  <sheetFormatPr baseColWidth="10" defaultRowHeight="15"/>
  <cols>
    <col min="1" max="1" width="3.7109375" customWidth="1"/>
    <col min="2" max="2" width="22.28515625" customWidth="1"/>
    <col min="3" max="4" width="14.28515625" customWidth="1"/>
    <col min="5" max="5" width="14.5703125" customWidth="1"/>
    <col min="6" max="7" width="14.140625" customWidth="1"/>
  </cols>
  <sheetData>
    <row r="1" spans="1:9" ht="20.25" thickBot="1">
      <c r="B1" s="441" t="s">
        <v>148</v>
      </c>
      <c r="C1" s="442"/>
      <c r="D1" s="442"/>
      <c r="E1" s="442"/>
      <c r="F1" s="442"/>
      <c r="G1" s="442"/>
      <c r="H1" s="443"/>
    </row>
    <row r="2" spans="1:9" ht="15.75" thickBot="1">
      <c r="B2" s="2"/>
      <c r="C2" s="2"/>
      <c r="D2" s="2"/>
      <c r="E2" s="2"/>
      <c r="F2" s="2"/>
      <c r="G2" s="2"/>
    </row>
    <row r="3" spans="1:9" ht="38.25" customHeight="1" thickBot="1">
      <c r="B3" s="126"/>
      <c r="C3" s="127" t="s">
        <v>53</v>
      </c>
      <c r="D3" s="131" t="s">
        <v>55</v>
      </c>
      <c r="E3" s="129" t="s">
        <v>22</v>
      </c>
      <c r="F3" s="128" t="s">
        <v>23</v>
      </c>
      <c r="G3" s="136" t="s">
        <v>24</v>
      </c>
      <c r="H3" s="130" t="s">
        <v>21</v>
      </c>
      <c r="I3" s="142" t="s">
        <v>62</v>
      </c>
    </row>
    <row r="4" spans="1:9" ht="15.75" thickBot="1">
      <c r="A4">
        <v>1</v>
      </c>
      <c r="B4" s="88" t="s">
        <v>133</v>
      </c>
      <c r="C4" s="125" t="s">
        <v>147</v>
      </c>
      <c r="D4" s="201" t="s">
        <v>131</v>
      </c>
      <c r="E4" s="15">
        <v>2</v>
      </c>
      <c r="F4" s="132"/>
      <c r="G4" s="139">
        <f>E4+F4</f>
        <v>2</v>
      </c>
      <c r="H4" s="140">
        <f>15*G4</f>
        <v>30</v>
      </c>
      <c r="I4" s="143" t="s">
        <v>118</v>
      </c>
    </row>
    <row r="5" spans="1:9" ht="15.75" thickBot="1">
      <c r="A5">
        <v>2</v>
      </c>
      <c r="B5" s="7" t="s">
        <v>64</v>
      </c>
      <c r="C5" s="4" t="s">
        <v>66</v>
      </c>
      <c r="D5" s="202" t="s">
        <v>65</v>
      </c>
      <c r="E5" s="66"/>
      <c r="F5" s="133">
        <v>1</v>
      </c>
      <c r="G5" s="139">
        <f t="shared" ref="G5:G10" si="0">E5+F5</f>
        <v>1</v>
      </c>
      <c r="H5" s="140">
        <f t="shared" ref="H5:H10" si="1">15*G5</f>
        <v>15</v>
      </c>
      <c r="I5" s="143" t="s">
        <v>118</v>
      </c>
    </row>
    <row r="6" spans="1:9" ht="15.75" thickBot="1">
      <c r="A6">
        <v>3</v>
      </c>
      <c r="B6" s="7" t="s">
        <v>132</v>
      </c>
      <c r="C6" s="6" t="s">
        <v>76</v>
      </c>
      <c r="D6" s="202"/>
      <c r="E6" s="66">
        <v>2</v>
      </c>
      <c r="F6" s="134">
        <v>1</v>
      </c>
      <c r="G6" s="139">
        <f t="shared" si="0"/>
        <v>3</v>
      </c>
      <c r="H6" s="140">
        <f t="shared" si="1"/>
        <v>45</v>
      </c>
      <c r="I6" s="200" t="s">
        <v>118</v>
      </c>
    </row>
    <row r="7" spans="1:9" ht="15.75" thickBot="1">
      <c r="A7">
        <v>4</v>
      </c>
      <c r="B7" s="7" t="s">
        <v>150</v>
      </c>
      <c r="C7" s="195" t="s">
        <v>167</v>
      </c>
      <c r="D7" s="195" t="s">
        <v>169</v>
      </c>
      <c r="E7" s="66"/>
      <c r="F7" s="134">
        <v>1</v>
      </c>
      <c r="G7" s="139">
        <f t="shared" si="0"/>
        <v>1</v>
      </c>
      <c r="H7" s="140">
        <f t="shared" si="1"/>
        <v>15</v>
      </c>
      <c r="I7" s="143" t="s">
        <v>118</v>
      </c>
    </row>
    <row r="8" spans="1:9" ht="15.75" thickBot="1">
      <c r="A8">
        <v>5</v>
      </c>
      <c r="B8" s="199" t="s">
        <v>159</v>
      </c>
      <c r="C8" s="195" t="s">
        <v>161</v>
      </c>
      <c r="D8" s="195" t="s">
        <v>161</v>
      </c>
      <c r="E8" s="16">
        <v>1</v>
      </c>
      <c r="F8" s="134"/>
      <c r="G8" s="139">
        <f t="shared" si="0"/>
        <v>1</v>
      </c>
      <c r="H8" s="140">
        <f t="shared" si="1"/>
        <v>15</v>
      </c>
      <c r="I8" s="143" t="s">
        <v>118</v>
      </c>
    </row>
    <row r="9" spans="1:9" ht="15.75" thickBot="1">
      <c r="A9">
        <v>6</v>
      </c>
      <c r="B9" s="7"/>
      <c r="C9" s="6"/>
      <c r="D9" s="202"/>
      <c r="E9" s="67"/>
      <c r="F9" s="134"/>
      <c r="G9" s="139">
        <f t="shared" si="0"/>
        <v>0</v>
      </c>
      <c r="H9" s="140">
        <f t="shared" si="1"/>
        <v>0</v>
      </c>
      <c r="I9" s="143"/>
    </row>
    <row r="10" spans="1:9" ht="15.75" thickBot="1">
      <c r="A10">
        <v>7</v>
      </c>
      <c r="B10" s="7"/>
      <c r="C10" s="6"/>
      <c r="D10" s="202"/>
      <c r="E10" s="89"/>
      <c r="F10" s="135"/>
      <c r="G10" s="139">
        <f t="shared" si="0"/>
        <v>0</v>
      </c>
      <c r="H10" s="140">
        <f t="shared" si="1"/>
        <v>0</v>
      </c>
      <c r="I10" s="143"/>
    </row>
    <row r="11" spans="1:9" ht="15.75" thickBot="1">
      <c r="B11" s="12">
        <f>COUNTA(B4:B10)</f>
        <v>5</v>
      </c>
      <c r="C11" s="65"/>
      <c r="D11" s="13"/>
      <c r="E11" s="90">
        <f>SUM(E4:E10)</f>
        <v>5</v>
      </c>
      <c r="F11" s="91">
        <f>SUM(F4:F10)</f>
        <v>3</v>
      </c>
      <c r="G11" s="137">
        <f>SUM(G4:G10)</f>
        <v>8</v>
      </c>
      <c r="H11" s="138">
        <f>SUM(H4:H10)</f>
        <v>120</v>
      </c>
      <c r="I11" s="143"/>
    </row>
  </sheetData>
  <mergeCells count="1">
    <mergeCell ref="B1:H1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"/>
  <sheetViews>
    <sheetView zoomScale="80" zoomScaleNormal="80" workbookViewId="0">
      <selection activeCell="D5" sqref="D5"/>
    </sheetView>
  </sheetViews>
  <sheetFormatPr baseColWidth="10" defaultRowHeight="15"/>
  <cols>
    <col min="1" max="2" width="22" customWidth="1"/>
    <col min="3" max="3" width="13.5703125" style="1" customWidth="1"/>
    <col min="4" max="4" width="14" customWidth="1"/>
    <col min="5" max="5" width="45.7109375" customWidth="1"/>
    <col min="6" max="6" width="24.5703125" customWidth="1"/>
    <col min="7" max="7" width="14.28515625" style="17" customWidth="1"/>
    <col min="8" max="8" width="19" style="17" customWidth="1"/>
    <col min="9" max="9" width="16.42578125" style="17" customWidth="1"/>
    <col min="10" max="10" width="28.28515625" customWidth="1"/>
    <col min="11" max="11" width="24.42578125" customWidth="1"/>
    <col min="12" max="12" width="48.85546875" customWidth="1"/>
    <col min="13" max="13" width="12.85546875" customWidth="1"/>
    <col min="14" max="14" width="20.42578125" customWidth="1"/>
    <col min="15" max="16" width="29" customWidth="1"/>
    <col min="17" max="17" width="9.28515625" customWidth="1"/>
    <col min="18" max="18" width="20.140625" customWidth="1"/>
    <col min="19" max="19" width="24" customWidth="1"/>
    <col min="20" max="20" width="24.28515625" customWidth="1"/>
    <col min="22" max="22" width="15.140625" customWidth="1"/>
    <col min="23" max="23" width="26.140625" customWidth="1"/>
    <col min="24" max="24" width="25.7109375" customWidth="1"/>
    <col min="26" max="26" width="22.28515625" customWidth="1"/>
  </cols>
  <sheetData>
    <row r="1" spans="1:26" ht="16.5" thickBot="1">
      <c r="A1" s="457" t="s">
        <v>32</v>
      </c>
      <c r="B1" s="458"/>
      <c r="C1" s="464"/>
      <c r="D1" s="453" t="s">
        <v>37</v>
      </c>
      <c r="E1" s="454"/>
      <c r="F1" s="454"/>
      <c r="G1" s="454"/>
      <c r="H1" s="455"/>
      <c r="I1" s="455"/>
      <c r="J1" s="456"/>
      <c r="K1" s="465" t="s">
        <v>0</v>
      </c>
      <c r="L1" s="466"/>
      <c r="M1" s="466"/>
      <c r="N1" s="466"/>
      <c r="O1" s="467" t="s">
        <v>1</v>
      </c>
      <c r="P1" s="468"/>
      <c r="Q1" s="468"/>
      <c r="R1" s="469"/>
      <c r="S1" s="460" t="s">
        <v>2</v>
      </c>
      <c r="T1" s="460"/>
      <c r="U1" s="460"/>
      <c r="V1" s="461"/>
      <c r="W1" s="462" t="s">
        <v>3</v>
      </c>
      <c r="X1" s="462"/>
      <c r="Y1" s="462"/>
      <c r="Z1" s="463"/>
    </row>
    <row r="2" spans="1:26" s="2" customFormat="1" ht="17.25" thickTop="1" thickBot="1">
      <c r="A2" s="38" t="s">
        <v>28</v>
      </c>
      <c r="B2" s="71" t="s">
        <v>4</v>
      </c>
      <c r="C2" s="71" t="s">
        <v>48</v>
      </c>
      <c r="D2" s="106" t="s">
        <v>5</v>
      </c>
      <c r="E2" s="105" t="s">
        <v>6</v>
      </c>
      <c r="F2" s="105" t="s">
        <v>39</v>
      </c>
      <c r="G2" s="107" t="s">
        <v>26</v>
      </c>
      <c r="H2" s="107" t="s">
        <v>40</v>
      </c>
      <c r="I2" s="107" t="s">
        <v>47</v>
      </c>
      <c r="J2" s="108" t="s">
        <v>38</v>
      </c>
      <c r="K2" s="78" t="s">
        <v>5</v>
      </c>
      <c r="L2" s="39" t="s">
        <v>6</v>
      </c>
      <c r="M2" s="40" t="s">
        <v>26</v>
      </c>
      <c r="N2" s="41" t="s">
        <v>27</v>
      </c>
      <c r="O2" s="42" t="s">
        <v>5</v>
      </c>
      <c r="P2" s="43" t="s">
        <v>6</v>
      </c>
      <c r="Q2" s="44" t="s">
        <v>26</v>
      </c>
      <c r="R2" s="45" t="s">
        <v>27</v>
      </c>
      <c r="S2" s="46" t="s">
        <v>5</v>
      </c>
      <c r="T2" s="47" t="s">
        <v>6</v>
      </c>
      <c r="U2" s="48" t="s">
        <v>26</v>
      </c>
      <c r="V2" s="49" t="s">
        <v>8</v>
      </c>
      <c r="W2" s="50" t="s">
        <v>5</v>
      </c>
      <c r="X2" s="51" t="s">
        <v>6</v>
      </c>
      <c r="Y2" s="52" t="s">
        <v>7</v>
      </c>
      <c r="Z2" s="53" t="s">
        <v>8</v>
      </c>
    </row>
    <row r="3" spans="1:26" ht="15.75">
      <c r="A3" s="451" t="s">
        <v>10</v>
      </c>
      <c r="B3" s="452">
        <v>46069</v>
      </c>
      <c r="C3" s="96" t="s">
        <v>50</v>
      </c>
      <c r="D3" s="123"/>
      <c r="E3" s="85"/>
      <c r="F3" s="85"/>
      <c r="G3" s="109"/>
      <c r="H3" s="113"/>
      <c r="I3" s="113"/>
      <c r="J3" s="110"/>
      <c r="K3" s="79"/>
      <c r="L3" s="26"/>
      <c r="M3" s="26"/>
      <c r="N3" s="24"/>
      <c r="O3" s="25"/>
      <c r="P3" s="25"/>
      <c r="Q3" s="25"/>
      <c r="R3" s="25"/>
      <c r="S3" s="21"/>
      <c r="T3" s="21"/>
      <c r="U3" s="29"/>
      <c r="V3" s="21"/>
      <c r="W3" s="18"/>
      <c r="X3" s="18"/>
      <c r="Y3" s="18"/>
      <c r="Z3" s="18"/>
    </row>
    <row r="4" spans="1:26" ht="31.5">
      <c r="A4" s="444"/>
      <c r="B4" s="447"/>
      <c r="C4" s="97" t="s">
        <v>49</v>
      </c>
      <c r="D4" s="69" t="s">
        <v>29</v>
      </c>
      <c r="E4" s="54"/>
      <c r="F4" s="54" t="s">
        <v>142</v>
      </c>
      <c r="G4" s="113" t="s">
        <v>143</v>
      </c>
      <c r="H4" s="113" t="s">
        <v>46</v>
      </c>
      <c r="I4" s="113" t="s">
        <v>51</v>
      </c>
      <c r="J4" s="203" t="s">
        <v>133</v>
      </c>
      <c r="K4" s="79"/>
      <c r="L4" s="26"/>
      <c r="M4" s="26"/>
      <c r="N4" s="24"/>
      <c r="O4" s="25"/>
      <c r="P4" s="25"/>
      <c r="Q4" s="25"/>
      <c r="R4" s="25"/>
      <c r="S4" s="21"/>
      <c r="T4" s="21"/>
      <c r="U4" s="29"/>
      <c r="V4" s="21"/>
      <c r="W4" s="18"/>
      <c r="X4" s="18"/>
      <c r="Y4" s="18"/>
      <c r="Z4" s="18"/>
    </row>
    <row r="5" spans="1:26" ht="26.45" customHeight="1">
      <c r="A5" s="444" t="s">
        <v>11</v>
      </c>
      <c r="B5" s="447">
        <v>46070</v>
      </c>
      <c r="C5" s="97" t="s">
        <v>50</v>
      </c>
      <c r="D5" s="69" t="s">
        <v>105</v>
      </c>
      <c r="E5" s="54" t="s">
        <v>145</v>
      </c>
      <c r="F5" s="54" t="s">
        <v>105</v>
      </c>
      <c r="G5" s="113" t="s">
        <v>30</v>
      </c>
      <c r="H5" s="113" t="s">
        <v>106</v>
      </c>
      <c r="I5" s="113" t="s">
        <v>146</v>
      </c>
      <c r="J5" s="203" t="s">
        <v>132</v>
      </c>
      <c r="K5" s="80"/>
      <c r="L5" s="26"/>
      <c r="M5" s="62"/>
      <c r="N5" s="24"/>
      <c r="O5" s="28"/>
      <c r="P5" s="28"/>
      <c r="Q5" s="28"/>
      <c r="R5" s="25"/>
      <c r="S5" s="21"/>
      <c r="T5" s="21"/>
      <c r="U5" s="21"/>
      <c r="V5" s="21"/>
      <c r="W5" s="18"/>
      <c r="X5" s="18"/>
      <c r="Y5" s="18"/>
      <c r="Z5" s="18"/>
    </row>
    <row r="6" spans="1:26" ht="31.5">
      <c r="A6" s="444"/>
      <c r="B6" s="447"/>
      <c r="C6" s="97" t="s">
        <v>49</v>
      </c>
      <c r="D6" s="69" t="s">
        <v>29</v>
      </c>
      <c r="E6" s="54"/>
      <c r="F6" s="54" t="s">
        <v>142</v>
      </c>
      <c r="G6" s="113" t="s">
        <v>143</v>
      </c>
      <c r="H6" s="113" t="s">
        <v>46</v>
      </c>
      <c r="I6" s="113" t="s">
        <v>51</v>
      </c>
      <c r="J6" s="203" t="s">
        <v>133</v>
      </c>
      <c r="K6" s="80"/>
      <c r="L6" s="26"/>
      <c r="M6" s="62"/>
      <c r="N6" s="24"/>
      <c r="O6" s="28"/>
      <c r="P6" s="28"/>
      <c r="Q6" s="28"/>
      <c r="R6" s="25"/>
      <c r="S6" s="21"/>
      <c r="T6" s="21"/>
      <c r="U6" s="21"/>
      <c r="V6" s="21"/>
      <c r="W6" s="18"/>
      <c r="X6" s="18"/>
      <c r="Y6" s="18"/>
      <c r="Z6" s="18"/>
    </row>
    <row r="7" spans="1:26" ht="15.75">
      <c r="A7" s="444" t="s">
        <v>12</v>
      </c>
      <c r="B7" s="447">
        <v>46071</v>
      </c>
      <c r="C7" s="97" t="s">
        <v>50</v>
      </c>
      <c r="D7" s="69"/>
      <c r="E7" s="54"/>
      <c r="F7" s="54"/>
      <c r="G7" s="113"/>
      <c r="H7" s="113"/>
      <c r="I7" s="113"/>
      <c r="J7" s="111"/>
      <c r="K7" s="80"/>
      <c r="L7" s="26"/>
      <c r="M7" s="62"/>
      <c r="N7" s="24"/>
      <c r="O7" s="28"/>
      <c r="P7" s="28"/>
      <c r="Q7" s="28"/>
      <c r="R7" s="25"/>
      <c r="S7" s="21"/>
      <c r="T7" s="21"/>
      <c r="U7" s="21"/>
      <c r="V7" s="21"/>
      <c r="W7" s="18"/>
      <c r="X7" s="18"/>
      <c r="Y7" s="18"/>
      <c r="Z7" s="18"/>
    </row>
    <row r="8" spans="1:26" ht="31.5">
      <c r="A8" s="444"/>
      <c r="B8" s="447"/>
      <c r="C8" s="97" t="s">
        <v>49</v>
      </c>
      <c r="D8" s="69" t="s">
        <v>29</v>
      </c>
      <c r="E8" s="54"/>
      <c r="F8" s="54" t="s">
        <v>142</v>
      </c>
      <c r="G8" s="113" t="s">
        <v>143</v>
      </c>
      <c r="H8" s="113" t="s">
        <v>46</v>
      </c>
      <c r="I8" s="113" t="s">
        <v>51</v>
      </c>
      <c r="J8" s="203" t="s">
        <v>132</v>
      </c>
      <c r="K8" s="80"/>
      <c r="L8" s="58"/>
      <c r="M8" s="58"/>
      <c r="N8" s="24"/>
      <c r="O8" s="25"/>
      <c r="P8" s="25"/>
      <c r="Q8" s="28"/>
      <c r="R8" s="25"/>
      <c r="S8" s="21"/>
      <c r="T8" s="21"/>
      <c r="U8" s="21"/>
      <c r="V8" s="21"/>
      <c r="W8" s="18"/>
      <c r="X8" s="18"/>
      <c r="Y8" s="18"/>
      <c r="Z8" s="18"/>
    </row>
    <row r="9" spans="1:26" ht="30">
      <c r="A9" s="444" t="s">
        <v>13</v>
      </c>
      <c r="B9" s="447">
        <v>46072</v>
      </c>
      <c r="C9" s="97" t="s">
        <v>50</v>
      </c>
      <c r="D9" s="111" t="s">
        <v>155</v>
      </c>
      <c r="E9" s="111"/>
      <c r="F9" s="167" t="s">
        <v>155</v>
      </c>
      <c r="G9" s="167" t="s">
        <v>30</v>
      </c>
      <c r="H9" s="167" t="s">
        <v>156</v>
      </c>
      <c r="I9" s="167"/>
      <c r="J9" s="167" t="s">
        <v>157</v>
      </c>
      <c r="K9" s="80"/>
      <c r="L9" s="58"/>
      <c r="M9" s="58"/>
      <c r="N9" s="24"/>
      <c r="O9" s="25"/>
      <c r="P9" s="25"/>
      <c r="Q9" s="28"/>
      <c r="R9" s="25"/>
      <c r="S9" s="21"/>
      <c r="T9" s="21"/>
      <c r="U9" s="21"/>
      <c r="V9" s="21"/>
      <c r="W9" s="18"/>
      <c r="X9" s="18"/>
      <c r="Y9" s="18"/>
      <c r="Z9" s="18"/>
    </row>
    <row r="10" spans="1:26" ht="15.75">
      <c r="A10" s="444"/>
      <c r="B10" s="447"/>
      <c r="C10" s="97" t="s">
        <v>49</v>
      </c>
      <c r="D10" s="69"/>
      <c r="E10" s="54"/>
      <c r="F10" s="54"/>
      <c r="G10" s="113"/>
      <c r="H10" s="113"/>
      <c r="I10" s="113"/>
      <c r="J10" s="111"/>
      <c r="K10" s="80"/>
      <c r="L10" s="58"/>
      <c r="M10" s="58"/>
      <c r="N10" s="24"/>
      <c r="O10" s="25"/>
      <c r="P10" s="25"/>
      <c r="Q10" s="28"/>
      <c r="R10" s="25"/>
      <c r="S10" s="21"/>
      <c r="T10" s="21"/>
      <c r="U10" s="21"/>
      <c r="V10" s="21"/>
      <c r="W10" s="18"/>
      <c r="X10" s="18"/>
      <c r="Y10" s="18"/>
      <c r="Z10" s="18"/>
    </row>
    <row r="11" spans="1:26" ht="15.75">
      <c r="A11" s="444" t="s">
        <v>14</v>
      </c>
      <c r="B11" s="447">
        <v>46073</v>
      </c>
      <c r="C11" s="97" t="s">
        <v>50</v>
      </c>
      <c r="D11" s="69"/>
      <c r="E11" s="54"/>
      <c r="F11" s="54"/>
      <c r="G11" s="113"/>
      <c r="H11" s="113"/>
      <c r="I11" s="113"/>
      <c r="J11" s="111"/>
      <c r="K11" s="80"/>
      <c r="L11" s="58"/>
      <c r="M11" s="58"/>
      <c r="N11" s="24"/>
      <c r="O11" s="25"/>
      <c r="P11" s="25"/>
      <c r="Q11" s="28"/>
      <c r="R11" s="25"/>
      <c r="S11" s="21"/>
      <c r="T11" s="21"/>
      <c r="U11" s="21"/>
      <c r="V11" s="21"/>
      <c r="W11" s="18"/>
      <c r="X11" s="18"/>
      <c r="Y11" s="18"/>
      <c r="Z11" s="18"/>
    </row>
    <row r="12" spans="1:26" ht="16.5" thickBot="1">
      <c r="A12" s="445"/>
      <c r="B12" s="449"/>
      <c r="C12" s="98" t="s">
        <v>49</v>
      </c>
      <c r="D12" s="124"/>
      <c r="E12" s="86"/>
      <c r="F12" s="86"/>
      <c r="G12" s="114"/>
      <c r="H12" s="114"/>
      <c r="I12" s="114"/>
      <c r="J12" s="112"/>
      <c r="K12" s="81"/>
      <c r="L12" s="57"/>
      <c r="M12" s="56"/>
      <c r="N12" s="24"/>
      <c r="O12" s="63"/>
      <c r="P12" s="63"/>
      <c r="Q12" s="63"/>
      <c r="R12" s="25"/>
      <c r="S12" s="21"/>
      <c r="T12" s="21"/>
      <c r="U12" s="21"/>
      <c r="V12" s="21"/>
      <c r="W12" s="18"/>
      <c r="X12" s="18"/>
      <c r="Y12" s="18"/>
      <c r="Z12" s="18"/>
    </row>
    <row r="13" spans="1:26" ht="15.75">
      <c r="A13" s="450" t="s">
        <v>9</v>
      </c>
      <c r="B13" s="446">
        <v>46076</v>
      </c>
      <c r="C13" s="117" t="s">
        <v>50</v>
      </c>
      <c r="D13" s="72"/>
      <c r="E13" s="102"/>
      <c r="F13" s="102"/>
      <c r="G13" s="73"/>
      <c r="H13" s="99"/>
      <c r="I13" s="99"/>
      <c r="J13" s="103"/>
      <c r="K13" s="82"/>
      <c r="L13" s="24"/>
      <c r="M13" s="26"/>
      <c r="N13" s="24"/>
      <c r="O13" s="25"/>
      <c r="P13" s="25"/>
      <c r="Q13" s="28"/>
      <c r="R13" s="25"/>
      <c r="S13" s="21"/>
      <c r="T13" s="21"/>
      <c r="U13" s="22"/>
      <c r="V13" s="21"/>
      <c r="W13" s="18"/>
      <c r="X13" s="18"/>
      <c r="Y13" s="18"/>
      <c r="Z13" s="18"/>
    </row>
    <row r="14" spans="1:26" ht="15.75">
      <c r="A14" s="444"/>
      <c r="B14" s="447"/>
      <c r="C14" s="97" t="s">
        <v>49</v>
      </c>
      <c r="D14" s="72"/>
      <c r="E14" s="102"/>
      <c r="F14" s="102"/>
      <c r="G14" s="73"/>
      <c r="H14" s="99"/>
      <c r="I14" s="99"/>
      <c r="J14" s="103"/>
      <c r="K14" s="82"/>
      <c r="L14" s="24"/>
      <c r="M14" s="26"/>
      <c r="N14" s="24"/>
      <c r="O14" s="25"/>
      <c r="P14" s="25"/>
      <c r="Q14" s="28"/>
      <c r="R14" s="25"/>
      <c r="S14" s="21"/>
      <c r="T14" s="21"/>
      <c r="U14" s="22"/>
      <c r="V14" s="21"/>
      <c r="W14" s="18"/>
      <c r="X14" s="18"/>
      <c r="Y14" s="18"/>
      <c r="Z14" s="18"/>
    </row>
    <row r="15" spans="1:26" ht="15.75">
      <c r="A15" s="444" t="s">
        <v>15</v>
      </c>
      <c r="B15" s="446">
        <v>46077</v>
      </c>
      <c r="C15" s="97" t="s">
        <v>50</v>
      </c>
      <c r="D15" s="69"/>
      <c r="E15" s="60"/>
      <c r="F15" s="60"/>
      <c r="G15" s="61"/>
      <c r="H15" s="94"/>
      <c r="I15" s="94"/>
      <c r="J15" s="83"/>
      <c r="K15" s="82"/>
      <c r="L15" s="24"/>
      <c r="M15" s="27"/>
      <c r="N15" s="24"/>
      <c r="O15" s="25"/>
      <c r="P15" s="25"/>
      <c r="Q15" s="28"/>
      <c r="R15" s="25"/>
      <c r="S15" s="21"/>
      <c r="T15" s="21"/>
      <c r="U15" s="21"/>
      <c r="V15" s="21"/>
      <c r="W15" s="18"/>
      <c r="X15" s="18"/>
      <c r="Y15" s="18"/>
      <c r="Z15" s="18"/>
    </row>
    <row r="16" spans="1:26" ht="15.75">
      <c r="A16" s="444"/>
      <c r="B16" s="447"/>
      <c r="C16" s="97" t="s">
        <v>49</v>
      </c>
      <c r="D16" s="69"/>
      <c r="E16" s="60"/>
      <c r="F16" s="60"/>
      <c r="G16" s="61"/>
      <c r="H16" s="94"/>
      <c r="I16" s="94"/>
      <c r="J16" s="83"/>
      <c r="K16" s="82"/>
      <c r="L16" s="24"/>
      <c r="M16" s="27"/>
      <c r="N16" s="24"/>
      <c r="O16" s="25"/>
      <c r="P16" s="25"/>
      <c r="Q16" s="28"/>
      <c r="R16" s="25"/>
      <c r="S16" s="21"/>
      <c r="T16" s="21"/>
      <c r="U16" s="21"/>
      <c r="V16" s="21"/>
      <c r="W16" s="18"/>
      <c r="X16" s="18"/>
      <c r="Y16" s="18"/>
      <c r="Z16" s="18"/>
    </row>
    <row r="17" spans="1:26" s="30" customFormat="1" ht="15.75">
      <c r="A17" s="448" t="s">
        <v>12</v>
      </c>
      <c r="B17" s="446">
        <v>46078</v>
      </c>
      <c r="C17" s="97" t="s">
        <v>50</v>
      </c>
      <c r="D17" s="69"/>
      <c r="E17" s="60"/>
      <c r="F17" s="60"/>
      <c r="G17" s="60"/>
      <c r="H17" s="95"/>
      <c r="I17" s="95"/>
      <c r="J17" s="83"/>
      <c r="K17" s="82"/>
      <c r="L17" s="24"/>
      <c r="M17" s="24"/>
      <c r="N17" s="24"/>
      <c r="O17" s="25"/>
      <c r="P17" s="25"/>
      <c r="Q17" s="25"/>
      <c r="R17" s="25"/>
      <c r="S17" s="21"/>
      <c r="T17" s="21"/>
      <c r="U17" s="21"/>
      <c r="V17" s="21"/>
      <c r="W17" s="18"/>
      <c r="X17" s="18"/>
      <c r="Y17" s="18"/>
      <c r="Z17" s="18"/>
    </row>
    <row r="18" spans="1:26" s="30" customFormat="1" ht="15.75">
      <c r="A18" s="448"/>
      <c r="B18" s="447"/>
      <c r="C18" s="97" t="s">
        <v>49</v>
      </c>
      <c r="D18" s="69"/>
      <c r="E18" s="60"/>
      <c r="F18" s="60"/>
      <c r="G18" s="60"/>
      <c r="H18" s="95"/>
      <c r="I18" s="95"/>
      <c r="J18" s="83"/>
      <c r="K18" s="82"/>
      <c r="L18" s="24"/>
      <c r="M18" s="24"/>
      <c r="N18" s="24"/>
      <c r="O18" s="25"/>
      <c r="P18" s="25"/>
      <c r="Q18" s="25"/>
      <c r="R18" s="25"/>
      <c r="S18" s="21"/>
      <c r="T18" s="21"/>
      <c r="U18" s="21"/>
      <c r="V18" s="21"/>
      <c r="W18" s="18"/>
      <c r="X18" s="18"/>
      <c r="Y18" s="18"/>
      <c r="Z18" s="18"/>
    </row>
    <row r="19" spans="1:26" ht="15.75">
      <c r="A19" s="444" t="s">
        <v>16</v>
      </c>
      <c r="B19" s="446">
        <v>46079</v>
      </c>
      <c r="C19" s="97" t="s">
        <v>50</v>
      </c>
      <c r="D19" s="70"/>
      <c r="E19" s="37"/>
      <c r="F19" s="37"/>
      <c r="G19" s="55"/>
      <c r="H19" s="100"/>
      <c r="I19" s="100"/>
      <c r="J19" s="83"/>
      <c r="K19" s="82"/>
      <c r="L19" s="24"/>
      <c r="M19" s="27"/>
      <c r="N19" s="24"/>
      <c r="O19" s="25"/>
      <c r="P19" s="25"/>
      <c r="Q19" s="28"/>
      <c r="R19" s="25"/>
      <c r="S19" s="21"/>
      <c r="T19" s="21"/>
      <c r="U19" s="21"/>
      <c r="V19" s="23"/>
      <c r="W19" s="18"/>
      <c r="X19" s="18"/>
      <c r="Y19" s="19"/>
      <c r="Z19" s="18"/>
    </row>
    <row r="20" spans="1:26" ht="15.75">
      <c r="A20" s="444"/>
      <c r="B20" s="447"/>
      <c r="C20" s="97" t="s">
        <v>49</v>
      </c>
      <c r="D20" s="121"/>
      <c r="E20" s="118"/>
      <c r="F20" s="118"/>
      <c r="G20" s="119"/>
      <c r="H20" s="116"/>
      <c r="I20" s="116"/>
      <c r="J20" s="120"/>
      <c r="K20" s="82"/>
      <c r="L20" s="24"/>
      <c r="M20" s="27"/>
      <c r="N20" s="24"/>
      <c r="O20" s="25"/>
      <c r="P20" s="25"/>
      <c r="Q20" s="28"/>
      <c r="R20" s="25"/>
      <c r="S20" s="21"/>
      <c r="T20" s="21"/>
      <c r="U20" s="21"/>
      <c r="V20" s="23"/>
      <c r="W20" s="18"/>
      <c r="X20" s="18"/>
      <c r="Y20" s="19"/>
      <c r="Z20" s="18"/>
    </row>
    <row r="21" spans="1:26" ht="15.75">
      <c r="A21" s="444" t="s">
        <v>36</v>
      </c>
      <c r="B21" s="446">
        <v>46080</v>
      </c>
      <c r="C21" s="97" t="s">
        <v>50</v>
      </c>
      <c r="D21" s="121"/>
      <c r="E21" s="118"/>
      <c r="F21" s="118"/>
      <c r="G21" s="119"/>
      <c r="H21" s="116"/>
      <c r="I21" s="116"/>
      <c r="J21" s="120"/>
      <c r="K21" s="82"/>
      <c r="L21" s="24"/>
      <c r="M21" s="27"/>
      <c r="N21" s="24"/>
      <c r="O21" s="25"/>
      <c r="P21" s="25"/>
      <c r="Q21" s="28"/>
      <c r="R21" s="25"/>
      <c r="S21" s="21"/>
      <c r="T21" s="21"/>
      <c r="U21" s="21"/>
      <c r="V21" s="23"/>
      <c r="W21" s="18"/>
      <c r="X21" s="18"/>
      <c r="Y21" s="19"/>
      <c r="Z21" s="18"/>
    </row>
    <row r="22" spans="1:26" ht="16.5" thickBot="1">
      <c r="A22" s="445"/>
      <c r="B22" s="447"/>
      <c r="C22" s="98" t="s">
        <v>49</v>
      </c>
      <c r="D22" s="122"/>
      <c r="E22" s="104"/>
      <c r="F22" s="104"/>
      <c r="G22" s="87"/>
      <c r="H22" s="93"/>
      <c r="I22" s="93"/>
      <c r="J22" s="101"/>
      <c r="K22" s="82"/>
      <c r="L22" s="24"/>
      <c r="M22" s="26"/>
      <c r="N22" s="24"/>
      <c r="O22" s="25"/>
      <c r="P22" s="25"/>
      <c r="Q22" s="28"/>
      <c r="R22" s="25"/>
      <c r="S22" s="21"/>
      <c r="T22" s="21"/>
      <c r="U22" s="21"/>
      <c r="V22" s="21"/>
      <c r="W22" s="18"/>
      <c r="X22" s="18"/>
      <c r="Y22" s="19"/>
      <c r="Z22" s="20"/>
    </row>
    <row r="23" spans="1:26" ht="15.75" thickBot="1"/>
    <row r="24" spans="1:26" ht="16.5" thickBot="1">
      <c r="A24" s="457" t="s">
        <v>32</v>
      </c>
      <c r="B24" s="458"/>
      <c r="C24" s="459"/>
      <c r="D24" s="453" t="s">
        <v>37</v>
      </c>
      <c r="E24" s="454"/>
      <c r="F24" s="454"/>
      <c r="G24" s="454"/>
      <c r="H24" s="455"/>
      <c r="I24" s="455"/>
      <c r="J24" s="456"/>
      <c r="K24" s="8"/>
      <c r="L24" s="31" t="s">
        <v>29</v>
      </c>
      <c r="M24" s="31">
        <v>9</v>
      </c>
    </row>
    <row r="25" spans="1:26" ht="17.25" thickTop="1" thickBot="1">
      <c r="A25" s="38" t="s">
        <v>28</v>
      </c>
      <c r="B25" s="115"/>
      <c r="C25" s="71" t="s">
        <v>4</v>
      </c>
      <c r="D25" s="74" t="s">
        <v>5</v>
      </c>
      <c r="E25" s="75" t="s">
        <v>6</v>
      </c>
      <c r="F25" s="75" t="s">
        <v>39</v>
      </c>
      <c r="G25" s="76" t="s">
        <v>26</v>
      </c>
      <c r="H25" s="92" t="s">
        <v>40</v>
      </c>
      <c r="I25" s="92" t="s">
        <v>47</v>
      </c>
      <c r="J25" s="77" t="s">
        <v>38</v>
      </c>
      <c r="K25" s="8"/>
      <c r="L25" s="31" t="s">
        <v>61</v>
      </c>
      <c r="M25" s="32">
        <v>2</v>
      </c>
    </row>
    <row r="26" spans="1:26" ht="15.75">
      <c r="A26" s="451" t="s">
        <v>10</v>
      </c>
      <c r="B26" s="452">
        <v>46069</v>
      </c>
      <c r="C26" s="189" t="s">
        <v>50</v>
      </c>
      <c r="D26" s="144"/>
      <c r="E26" s="85"/>
      <c r="F26" s="85"/>
      <c r="G26" s="109"/>
      <c r="H26" s="109"/>
      <c r="I26" s="109"/>
      <c r="J26" s="110"/>
      <c r="K26" s="8"/>
      <c r="L26" s="31" t="s">
        <v>58</v>
      </c>
      <c r="M26" s="59">
        <v>2</v>
      </c>
    </row>
    <row r="27" spans="1:26" ht="15.75">
      <c r="A27" s="444"/>
      <c r="B27" s="447"/>
      <c r="C27" s="161" t="s">
        <v>49</v>
      </c>
      <c r="D27" s="84"/>
      <c r="E27" s="54"/>
      <c r="F27" s="54"/>
      <c r="G27" s="113"/>
      <c r="H27" s="113"/>
      <c r="I27" s="113"/>
      <c r="J27" s="111"/>
      <c r="K27" s="8"/>
      <c r="L27" s="31" t="s">
        <v>59</v>
      </c>
      <c r="M27" s="59">
        <v>1</v>
      </c>
    </row>
    <row r="28" spans="1:26" ht="30">
      <c r="A28" s="444" t="s">
        <v>11</v>
      </c>
      <c r="B28" s="447">
        <v>46070</v>
      </c>
      <c r="C28" s="161" t="s">
        <v>50</v>
      </c>
      <c r="D28" s="163" t="s">
        <v>41</v>
      </c>
      <c r="E28" s="187" t="s">
        <v>42</v>
      </c>
      <c r="F28" s="187" t="s">
        <v>43</v>
      </c>
      <c r="G28" s="146" t="s">
        <v>30</v>
      </c>
      <c r="H28" s="188" t="s">
        <v>45</v>
      </c>
      <c r="I28" s="188" t="s">
        <v>52</v>
      </c>
      <c r="J28" s="167" t="s">
        <v>153</v>
      </c>
      <c r="K28" s="8"/>
      <c r="L28" s="31" t="s">
        <v>60</v>
      </c>
      <c r="M28" s="33">
        <v>1</v>
      </c>
    </row>
    <row r="29" spans="1:26" ht="30">
      <c r="A29" s="444"/>
      <c r="B29" s="447"/>
      <c r="C29" s="161" t="s">
        <v>49</v>
      </c>
      <c r="D29" s="84" t="s">
        <v>41</v>
      </c>
      <c r="E29" s="60" t="s">
        <v>42</v>
      </c>
      <c r="F29" s="60" t="s">
        <v>43</v>
      </c>
      <c r="G29" s="61" t="s">
        <v>44</v>
      </c>
      <c r="H29" s="94" t="s">
        <v>45</v>
      </c>
      <c r="I29" s="94" t="s">
        <v>52</v>
      </c>
      <c r="J29" s="203" t="s">
        <v>151</v>
      </c>
      <c r="K29" s="8"/>
      <c r="L29" s="31" t="s">
        <v>41</v>
      </c>
      <c r="M29" s="33">
        <v>3</v>
      </c>
    </row>
    <row r="30" spans="1:26" ht="30">
      <c r="A30" s="444" t="s">
        <v>12</v>
      </c>
      <c r="B30" s="447">
        <v>46071</v>
      </c>
      <c r="C30" s="161" t="s">
        <v>50</v>
      </c>
      <c r="D30" s="163" t="s">
        <v>41</v>
      </c>
      <c r="E30" s="187" t="s">
        <v>42</v>
      </c>
      <c r="F30" s="187" t="s">
        <v>43</v>
      </c>
      <c r="G30" s="146" t="s">
        <v>30</v>
      </c>
      <c r="H30" s="188" t="s">
        <v>152</v>
      </c>
      <c r="I30" s="188" t="s">
        <v>52</v>
      </c>
      <c r="J30" s="111" t="s">
        <v>154</v>
      </c>
      <c r="K30" s="8"/>
      <c r="L30" s="35" t="s">
        <v>20</v>
      </c>
      <c r="M30" s="34">
        <f>SUM(M24:M29)</f>
        <v>18</v>
      </c>
    </row>
    <row r="31" spans="1:26" ht="15.75">
      <c r="A31" s="444"/>
      <c r="B31" s="447"/>
      <c r="C31" s="161" t="s">
        <v>49</v>
      </c>
      <c r="D31" s="163"/>
      <c r="E31" s="187"/>
      <c r="F31" s="187"/>
      <c r="G31" s="146"/>
      <c r="H31" s="188"/>
      <c r="I31" s="188"/>
      <c r="J31" s="167"/>
      <c r="K31" s="8"/>
      <c r="L31" s="5"/>
      <c r="M31" s="36"/>
    </row>
    <row r="32" spans="1:26" ht="15.75">
      <c r="A32" s="444" t="s">
        <v>13</v>
      </c>
      <c r="B32" s="447">
        <v>46072</v>
      </c>
      <c r="C32" s="161" t="s">
        <v>50</v>
      </c>
      <c r="D32" s="191"/>
      <c r="E32" s="60"/>
      <c r="F32" s="60"/>
      <c r="G32" s="60"/>
      <c r="H32" s="60"/>
      <c r="I32" s="60"/>
      <c r="J32" s="111"/>
      <c r="K32" s="8"/>
      <c r="L32" s="8"/>
    </row>
    <row r="33" spans="1:12" ht="15.75">
      <c r="A33" s="444"/>
      <c r="B33" s="447"/>
      <c r="C33" s="161" t="s">
        <v>49</v>
      </c>
      <c r="D33" s="191"/>
      <c r="E33" s="60"/>
      <c r="F33" s="60"/>
      <c r="G33" s="60"/>
      <c r="H33" s="60"/>
      <c r="I33" s="60"/>
      <c r="J33" s="111"/>
      <c r="K33" s="8"/>
      <c r="L33" s="5"/>
    </row>
    <row r="34" spans="1:12" ht="15.75">
      <c r="A34" s="444" t="s">
        <v>14</v>
      </c>
      <c r="B34" s="447">
        <v>46073</v>
      </c>
      <c r="C34" s="161" t="s">
        <v>50</v>
      </c>
      <c r="D34" s="84"/>
      <c r="E34" s="60"/>
      <c r="F34" s="60"/>
      <c r="G34" s="61"/>
      <c r="H34" s="94"/>
      <c r="I34" s="94"/>
      <c r="J34" s="111"/>
      <c r="L34" s="5"/>
    </row>
    <row r="35" spans="1:12" ht="16.5" thickBot="1">
      <c r="A35" s="445"/>
      <c r="B35" s="449"/>
      <c r="C35" s="190" t="s">
        <v>49</v>
      </c>
      <c r="D35" s="145"/>
      <c r="E35" s="192"/>
      <c r="F35" s="192"/>
      <c r="G35" s="193"/>
      <c r="H35" s="194"/>
      <c r="I35" s="194"/>
      <c r="J35" s="112"/>
      <c r="L35" s="5"/>
    </row>
    <row r="36" spans="1:12" ht="15.75">
      <c r="A36" s="450" t="s">
        <v>9</v>
      </c>
      <c r="B36" s="446">
        <v>46076</v>
      </c>
      <c r="C36" s="117" t="s">
        <v>50</v>
      </c>
      <c r="D36" s="72"/>
      <c r="E36" s="102"/>
      <c r="F36" s="102"/>
      <c r="G36" s="73"/>
      <c r="H36" s="99"/>
      <c r="I36" s="99"/>
      <c r="J36" s="103"/>
    </row>
    <row r="37" spans="1:12" ht="15.75">
      <c r="A37" s="444"/>
      <c r="B37" s="447"/>
      <c r="C37" s="97" t="s">
        <v>49</v>
      </c>
      <c r="D37" s="72"/>
      <c r="E37" s="102"/>
      <c r="F37" s="102"/>
      <c r="G37" s="73"/>
      <c r="H37" s="99"/>
      <c r="I37" s="99"/>
      <c r="J37" s="103"/>
    </row>
    <row r="38" spans="1:12" ht="15.75">
      <c r="A38" s="444" t="s">
        <v>15</v>
      </c>
      <c r="B38" s="446">
        <v>46077</v>
      </c>
      <c r="C38" s="97" t="s">
        <v>50</v>
      </c>
      <c r="D38" s="72"/>
      <c r="E38" s="102"/>
      <c r="F38" s="102"/>
      <c r="G38" s="73"/>
      <c r="H38" s="99"/>
      <c r="I38" s="94"/>
      <c r="J38" s="83"/>
    </row>
    <row r="39" spans="1:12" ht="33" customHeight="1">
      <c r="A39" s="444"/>
      <c r="B39" s="447"/>
      <c r="C39" s="97" t="s">
        <v>49</v>
      </c>
      <c r="D39" s="84"/>
      <c r="E39" s="60"/>
      <c r="F39" s="60"/>
      <c r="G39" s="61"/>
      <c r="H39" s="94"/>
      <c r="I39" s="94"/>
      <c r="J39" s="83"/>
    </row>
    <row r="40" spans="1:12" ht="30">
      <c r="A40" s="448" t="s">
        <v>12</v>
      </c>
      <c r="B40" s="446">
        <v>46078</v>
      </c>
      <c r="C40" s="97" t="s">
        <v>50</v>
      </c>
      <c r="D40" s="84" t="s">
        <v>41</v>
      </c>
      <c r="E40" s="60" t="s">
        <v>42</v>
      </c>
      <c r="F40" s="60" t="s">
        <v>43</v>
      </c>
      <c r="G40" s="61" t="s">
        <v>30</v>
      </c>
      <c r="H40" s="94" t="s">
        <v>45</v>
      </c>
      <c r="I40" s="94" t="s">
        <v>52</v>
      </c>
      <c r="J40" s="83"/>
    </row>
    <row r="41" spans="1:12" ht="30">
      <c r="A41" s="448"/>
      <c r="B41" s="447"/>
      <c r="C41" s="97" t="s">
        <v>49</v>
      </c>
      <c r="D41" s="84" t="s">
        <v>41</v>
      </c>
      <c r="E41" s="60" t="s">
        <v>42</v>
      </c>
      <c r="F41" s="60" t="s">
        <v>43</v>
      </c>
      <c r="G41" s="61" t="s">
        <v>44</v>
      </c>
      <c r="H41" s="94" t="s">
        <v>45</v>
      </c>
      <c r="I41" s="94" t="s">
        <v>52</v>
      </c>
      <c r="J41" s="205" t="s">
        <v>132</v>
      </c>
    </row>
    <row r="42" spans="1:12" ht="30">
      <c r="A42" s="444" t="s">
        <v>16</v>
      </c>
      <c r="B42" s="446">
        <v>46079</v>
      </c>
      <c r="C42" s="97" t="s">
        <v>50</v>
      </c>
      <c r="D42" s="84" t="s">
        <v>41</v>
      </c>
      <c r="E42" s="60" t="s">
        <v>42</v>
      </c>
      <c r="F42" s="60" t="s">
        <v>43</v>
      </c>
      <c r="G42" s="61" t="s">
        <v>30</v>
      </c>
      <c r="H42" s="94" t="s">
        <v>45</v>
      </c>
      <c r="I42" s="94" t="s">
        <v>52</v>
      </c>
      <c r="J42" s="205" t="s">
        <v>158</v>
      </c>
    </row>
    <row r="43" spans="1:12" ht="30">
      <c r="A43" s="444"/>
      <c r="B43" s="447"/>
      <c r="C43" s="97" t="s">
        <v>49</v>
      </c>
      <c r="D43" s="84" t="s">
        <v>41</v>
      </c>
      <c r="E43" s="60" t="s">
        <v>42</v>
      </c>
      <c r="F43" s="60" t="s">
        <v>43</v>
      </c>
      <c r="G43" s="61" t="s">
        <v>44</v>
      </c>
      <c r="H43" s="94" t="s">
        <v>45</v>
      </c>
      <c r="I43" s="94" t="s">
        <v>52</v>
      </c>
      <c r="J43" s="204" t="s">
        <v>144</v>
      </c>
    </row>
    <row r="44" spans="1:12" ht="15.75">
      <c r="A44" s="444" t="s">
        <v>36</v>
      </c>
      <c r="B44" s="446">
        <v>46080</v>
      </c>
      <c r="C44" s="97" t="s">
        <v>50</v>
      </c>
      <c r="D44" s="121"/>
      <c r="E44" s="118"/>
      <c r="F44" s="118"/>
      <c r="G44" s="119"/>
      <c r="H44" s="116"/>
      <c r="I44" s="116"/>
      <c r="J44" s="120"/>
    </row>
    <row r="45" spans="1:12" ht="16.5" thickBot="1">
      <c r="A45" s="445"/>
      <c r="B45" s="447"/>
      <c r="C45" s="98" t="s">
        <v>49</v>
      </c>
      <c r="D45" s="122"/>
      <c r="E45" s="104"/>
      <c r="F45" s="104"/>
      <c r="G45" s="87"/>
      <c r="H45" s="93"/>
      <c r="I45" s="93"/>
      <c r="J45" s="101"/>
    </row>
    <row r="47" spans="1:12">
      <c r="C47"/>
      <c r="G47"/>
      <c r="H47"/>
      <c r="I47"/>
    </row>
    <row r="48" spans="1:12">
      <c r="C48"/>
      <c r="G48"/>
      <c r="H48"/>
      <c r="I48"/>
    </row>
    <row r="49" spans="3:9">
      <c r="C49"/>
      <c r="G49"/>
      <c r="H49"/>
      <c r="I49"/>
    </row>
    <row r="50" spans="3:9">
      <c r="C50"/>
      <c r="G50"/>
      <c r="H50"/>
      <c r="I50"/>
    </row>
    <row r="51" spans="3:9">
      <c r="C51"/>
      <c r="G51"/>
      <c r="H51"/>
      <c r="I51"/>
    </row>
    <row r="52" spans="3:9">
      <c r="C52"/>
      <c r="G52"/>
      <c r="H52"/>
      <c r="I52"/>
    </row>
    <row r="53" spans="3:9">
      <c r="C53"/>
      <c r="G53"/>
      <c r="H53"/>
      <c r="I53"/>
    </row>
    <row r="54" spans="3:9">
      <c r="C54"/>
      <c r="G54"/>
      <c r="H54"/>
      <c r="I54"/>
    </row>
    <row r="55" spans="3:9">
      <c r="C55"/>
      <c r="G55"/>
      <c r="H55"/>
      <c r="I55"/>
    </row>
    <row r="56" spans="3:9">
      <c r="C56"/>
      <c r="G56"/>
      <c r="H56"/>
      <c r="I56"/>
    </row>
    <row r="57" spans="3:9">
      <c r="C57"/>
      <c r="G57"/>
      <c r="H57"/>
      <c r="I57"/>
    </row>
    <row r="58" spans="3:9">
      <c r="C58"/>
      <c r="G58"/>
      <c r="H58"/>
      <c r="I58"/>
    </row>
    <row r="59" spans="3:9">
      <c r="C59"/>
      <c r="G59"/>
      <c r="H59"/>
      <c r="I59"/>
    </row>
    <row r="60" spans="3:9">
      <c r="C60"/>
      <c r="G60"/>
      <c r="H60"/>
      <c r="I60"/>
    </row>
    <row r="61" spans="3:9">
      <c r="C61"/>
      <c r="G61"/>
      <c r="H61"/>
      <c r="I61"/>
    </row>
    <row r="62" spans="3:9">
      <c r="C62"/>
      <c r="G62"/>
      <c r="H62"/>
      <c r="I62"/>
    </row>
    <row r="63" spans="3:9">
      <c r="C63"/>
      <c r="G63"/>
      <c r="H63"/>
      <c r="I63"/>
    </row>
    <row r="64" spans="3:9">
      <c r="C64"/>
      <c r="G64"/>
      <c r="H64"/>
      <c r="I64"/>
    </row>
    <row r="65" spans="3:9">
      <c r="C65"/>
      <c r="G65"/>
      <c r="H65"/>
      <c r="I65"/>
    </row>
    <row r="66" spans="3:9">
      <c r="C66"/>
      <c r="G66"/>
      <c r="H66"/>
      <c r="I66"/>
    </row>
    <row r="67" spans="3:9">
      <c r="C67"/>
      <c r="G67"/>
      <c r="H67"/>
      <c r="I67"/>
    </row>
    <row r="68" spans="3:9">
      <c r="C68"/>
      <c r="G68"/>
      <c r="H68"/>
      <c r="I68"/>
    </row>
    <row r="69" spans="3:9">
      <c r="C69"/>
      <c r="G69"/>
      <c r="H69"/>
      <c r="I69"/>
    </row>
    <row r="70" spans="3:9">
      <c r="C70"/>
      <c r="G70"/>
      <c r="H70"/>
      <c r="I70"/>
    </row>
    <row r="71" spans="3:9">
      <c r="C71"/>
      <c r="G71"/>
      <c r="H71"/>
      <c r="I71"/>
    </row>
    <row r="72" spans="3:9">
      <c r="C72"/>
      <c r="G72"/>
      <c r="H72"/>
      <c r="I72"/>
    </row>
  </sheetData>
  <mergeCells count="48">
    <mergeCell ref="A3:A4"/>
    <mergeCell ref="B3:B4"/>
    <mergeCell ref="A7:A8"/>
    <mergeCell ref="B7:B8"/>
    <mergeCell ref="A5:A6"/>
    <mergeCell ref="B5:B6"/>
    <mergeCell ref="S1:V1"/>
    <mergeCell ref="W1:Z1"/>
    <mergeCell ref="A1:C1"/>
    <mergeCell ref="D1:J1"/>
    <mergeCell ref="K1:N1"/>
    <mergeCell ref="O1:R1"/>
    <mergeCell ref="A9:A10"/>
    <mergeCell ref="B9:B10"/>
    <mergeCell ref="A11:A12"/>
    <mergeCell ref="B11:B12"/>
    <mergeCell ref="D24:J24"/>
    <mergeCell ref="A24:C24"/>
    <mergeCell ref="A21:A22"/>
    <mergeCell ref="B21:B22"/>
    <mergeCell ref="A13:A14"/>
    <mergeCell ref="B13:B14"/>
    <mergeCell ref="A15:A16"/>
    <mergeCell ref="B15:B16"/>
    <mergeCell ref="A17:A18"/>
    <mergeCell ref="B17:B18"/>
    <mergeCell ref="A19:A20"/>
    <mergeCell ref="B19:B20"/>
    <mergeCell ref="A26:A27"/>
    <mergeCell ref="B26:B27"/>
    <mergeCell ref="A28:A29"/>
    <mergeCell ref="B28:B29"/>
    <mergeCell ref="A30:A31"/>
    <mergeCell ref="B30:B31"/>
    <mergeCell ref="A32:A33"/>
    <mergeCell ref="B32:B33"/>
    <mergeCell ref="A34:A35"/>
    <mergeCell ref="B34:B35"/>
    <mergeCell ref="A36:A37"/>
    <mergeCell ref="B36:B37"/>
    <mergeCell ref="A44:A45"/>
    <mergeCell ref="B44:B45"/>
    <mergeCell ref="A38:A39"/>
    <mergeCell ref="B38:B39"/>
    <mergeCell ref="A40:A41"/>
    <mergeCell ref="B40:B41"/>
    <mergeCell ref="A42:A43"/>
    <mergeCell ref="B42:B43"/>
  </mergeCells>
  <pageMargins left="0.25" right="0.25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9"/>
  <sheetViews>
    <sheetView workbookViewId="0">
      <pane xSplit="2" topLeftCell="C1" activePane="topRight" state="frozen"/>
      <selection pane="topRight" activeCell="T16" sqref="T16"/>
    </sheetView>
  </sheetViews>
  <sheetFormatPr baseColWidth="10" defaultRowHeight="15.75"/>
  <cols>
    <col min="1" max="1" width="11" style="301" bestFit="1" customWidth="1"/>
    <col min="2" max="2" width="17" style="262" bestFit="1" customWidth="1"/>
    <col min="3" max="3" width="25.140625" style="263" bestFit="1" customWidth="1"/>
    <col min="4" max="4" width="25" style="263" bestFit="1" customWidth="1"/>
    <col min="5" max="5" width="25.140625" style="263" bestFit="1" customWidth="1"/>
    <col min="6" max="6" width="4.85546875" style="263" bestFit="1" customWidth="1"/>
    <col min="7" max="7" width="25.140625" style="263" bestFit="1" customWidth="1"/>
    <col min="8" max="8" width="25" style="263" bestFit="1" customWidth="1"/>
    <col min="9" max="9" width="6.42578125" style="263" bestFit="1" customWidth="1"/>
    <col min="10" max="10" width="4.85546875" style="263" bestFit="1" customWidth="1"/>
    <col min="11" max="11" width="19.5703125" style="263" bestFit="1" customWidth="1"/>
    <col min="12" max="12" width="25" style="263" bestFit="1" customWidth="1"/>
    <col min="13" max="13" width="6.42578125" style="263" bestFit="1" customWidth="1"/>
    <col min="14" max="14" width="25" style="263" bestFit="1" customWidth="1"/>
    <col min="15" max="15" width="25.85546875" style="263" customWidth="1"/>
    <col min="16" max="16" width="4.85546875" style="263" bestFit="1" customWidth="1"/>
    <col min="17" max="17" width="6.42578125" style="263" bestFit="1" customWidth="1"/>
    <col min="18" max="18" width="25" style="263" bestFit="1" customWidth="1"/>
    <col min="19" max="19" width="17.7109375" style="263" customWidth="1"/>
    <col min="20" max="20" width="17.28515625" style="263" customWidth="1"/>
    <col min="21" max="21" width="22" style="263" bestFit="1" customWidth="1"/>
    <col min="22" max="22" width="25" style="263" bestFit="1" customWidth="1"/>
  </cols>
  <sheetData>
    <row r="1" spans="1:22" ht="16.5" thickBot="1">
      <c r="A1" s="470" t="s">
        <v>297</v>
      </c>
      <c r="B1" s="471"/>
    </row>
    <row r="3" spans="1:22">
      <c r="A3" s="477" t="s">
        <v>255</v>
      </c>
      <c r="B3" s="257" t="s">
        <v>28</v>
      </c>
      <c r="C3" s="478" t="s">
        <v>10</v>
      </c>
      <c r="D3" s="479"/>
      <c r="E3" s="473" t="s">
        <v>11</v>
      </c>
      <c r="F3" s="473"/>
      <c r="G3" s="473" t="s">
        <v>12</v>
      </c>
      <c r="H3" s="473"/>
      <c r="I3" s="473" t="s">
        <v>13</v>
      </c>
      <c r="J3" s="473"/>
      <c r="K3" s="473" t="s">
        <v>14</v>
      </c>
      <c r="L3" s="473"/>
      <c r="M3" s="473" t="s">
        <v>9</v>
      </c>
      <c r="N3" s="473"/>
      <c r="O3" s="473" t="s">
        <v>15</v>
      </c>
      <c r="P3" s="473"/>
      <c r="Q3" s="473" t="s">
        <v>12</v>
      </c>
      <c r="R3" s="473"/>
      <c r="S3" s="473" t="s">
        <v>16</v>
      </c>
      <c r="T3" s="473"/>
      <c r="U3" s="473" t="s">
        <v>36</v>
      </c>
      <c r="V3" s="473"/>
    </row>
    <row r="4" spans="1:22">
      <c r="A4" s="477"/>
      <c r="B4" s="258" t="s">
        <v>268</v>
      </c>
      <c r="C4" s="480">
        <v>46125</v>
      </c>
      <c r="D4" s="481"/>
      <c r="E4" s="472">
        <v>46126</v>
      </c>
      <c r="F4" s="472"/>
      <c r="G4" s="472">
        <v>46127</v>
      </c>
      <c r="H4" s="472"/>
      <c r="I4" s="472">
        <v>46128</v>
      </c>
      <c r="J4" s="472"/>
      <c r="K4" s="472">
        <v>46129</v>
      </c>
      <c r="L4" s="472"/>
      <c r="M4" s="472">
        <v>46132</v>
      </c>
      <c r="N4" s="472"/>
      <c r="O4" s="472">
        <v>46133</v>
      </c>
      <c r="P4" s="472"/>
      <c r="Q4" s="472">
        <v>46134</v>
      </c>
      <c r="R4" s="472"/>
      <c r="S4" s="472">
        <v>46135</v>
      </c>
      <c r="T4" s="472"/>
      <c r="U4" s="472">
        <v>46136</v>
      </c>
      <c r="V4" s="472"/>
    </row>
    <row r="5" spans="1:22">
      <c r="A5" s="477"/>
      <c r="B5" s="258" t="s">
        <v>269</v>
      </c>
      <c r="C5" s="267" t="s">
        <v>50</v>
      </c>
      <c r="D5" s="267" t="s">
        <v>49</v>
      </c>
      <c r="E5" s="267" t="s">
        <v>50</v>
      </c>
      <c r="F5" s="267" t="s">
        <v>49</v>
      </c>
      <c r="G5" s="267" t="s">
        <v>50</v>
      </c>
      <c r="H5" s="267" t="s">
        <v>49</v>
      </c>
      <c r="I5" s="267" t="s">
        <v>50</v>
      </c>
      <c r="J5" s="267" t="s">
        <v>49</v>
      </c>
      <c r="K5" s="267" t="s">
        <v>50</v>
      </c>
      <c r="L5" s="267" t="s">
        <v>49</v>
      </c>
      <c r="M5" s="267" t="s">
        <v>50</v>
      </c>
      <c r="N5" s="267" t="s">
        <v>49</v>
      </c>
      <c r="O5" s="267" t="s">
        <v>50</v>
      </c>
      <c r="P5" s="267" t="s">
        <v>49</v>
      </c>
      <c r="Q5" s="267" t="s">
        <v>50</v>
      </c>
      <c r="R5" s="267" t="s">
        <v>49</v>
      </c>
      <c r="S5" s="267" t="s">
        <v>50</v>
      </c>
      <c r="T5" s="267" t="s">
        <v>49</v>
      </c>
      <c r="U5" s="267" t="s">
        <v>50</v>
      </c>
      <c r="V5" s="267" t="s">
        <v>49</v>
      </c>
    </row>
    <row r="6" spans="1:22" ht="19.5" customHeight="1">
      <c r="A6" s="474" t="s">
        <v>291</v>
      </c>
      <c r="B6" s="259" t="s">
        <v>26</v>
      </c>
      <c r="C6" s="268" t="s">
        <v>274</v>
      </c>
      <c r="D6" s="269" t="s">
        <v>44</v>
      </c>
      <c r="E6" s="268" t="s">
        <v>274</v>
      </c>
      <c r="F6" s="270"/>
      <c r="G6" s="268" t="s">
        <v>274</v>
      </c>
      <c r="H6" s="269" t="s">
        <v>44</v>
      </c>
      <c r="I6" s="270"/>
      <c r="J6" s="270"/>
      <c r="K6" s="285" t="s">
        <v>30</v>
      </c>
      <c r="L6" s="269" t="s">
        <v>44</v>
      </c>
      <c r="M6" s="270"/>
      <c r="N6" s="269" t="s">
        <v>44</v>
      </c>
      <c r="O6" s="270"/>
      <c r="P6" s="270"/>
      <c r="Q6" s="270"/>
      <c r="R6" s="269" t="s">
        <v>44</v>
      </c>
      <c r="S6" s="270"/>
      <c r="T6" s="270"/>
      <c r="U6" s="334" t="s">
        <v>30</v>
      </c>
      <c r="V6" s="269" t="s">
        <v>44</v>
      </c>
    </row>
    <row r="7" spans="1:22" ht="47.25">
      <c r="A7" s="475"/>
      <c r="B7" s="260" t="s">
        <v>37</v>
      </c>
      <c r="C7" s="271" t="s">
        <v>275</v>
      </c>
      <c r="D7" s="272" t="s">
        <v>271</v>
      </c>
      <c r="E7" s="271" t="s">
        <v>275</v>
      </c>
      <c r="F7" s="273"/>
      <c r="G7" s="271" t="s">
        <v>275</v>
      </c>
      <c r="H7" s="272" t="s">
        <v>271</v>
      </c>
      <c r="I7" s="273"/>
      <c r="J7" s="273"/>
      <c r="K7" s="286" t="s">
        <v>279</v>
      </c>
      <c r="L7" s="272" t="s">
        <v>271</v>
      </c>
      <c r="M7" s="274"/>
      <c r="N7" s="272" t="s">
        <v>271</v>
      </c>
      <c r="O7" s="275"/>
      <c r="P7" s="276"/>
      <c r="Q7" s="275"/>
      <c r="R7" s="272" t="s">
        <v>271</v>
      </c>
      <c r="S7" s="274"/>
      <c r="T7" s="274"/>
      <c r="U7" s="335" t="s">
        <v>293</v>
      </c>
      <c r="V7" s="272" t="s">
        <v>271</v>
      </c>
    </row>
    <row r="8" spans="1:22" ht="19.5" customHeight="1">
      <c r="A8" s="475"/>
      <c r="B8" s="260" t="s">
        <v>39</v>
      </c>
      <c r="C8" s="271" t="s">
        <v>276</v>
      </c>
      <c r="D8" s="272" t="s">
        <v>94</v>
      </c>
      <c r="E8" s="271" t="s">
        <v>276</v>
      </c>
      <c r="F8" s="273"/>
      <c r="G8" s="271" t="s">
        <v>276</v>
      </c>
      <c r="H8" s="272" t="s">
        <v>94</v>
      </c>
      <c r="I8" s="273"/>
      <c r="J8" s="273"/>
      <c r="K8" s="286" t="s">
        <v>280</v>
      </c>
      <c r="L8" s="264" t="s">
        <v>94</v>
      </c>
      <c r="M8" s="274"/>
      <c r="N8" s="264" t="s">
        <v>273</v>
      </c>
      <c r="O8" s="275"/>
      <c r="P8" s="276"/>
      <c r="Q8" s="275"/>
      <c r="R8" s="264" t="s">
        <v>273</v>
      </c>
      <c r="S8" s="274"/>
      <c r="T8" s="274"/>
      <c r="U8" s="335" t="s">
        <v>58</v>
      </c>
      <c r="V8" s="264" t="s">
        <v>273</v>
      </c>
    </row>
    <row r="9" spans="1:22" ht="19.5" customHeight="1">
      <c r="A9" s="475"/>
      <c r="B9" s="261" t="s">
        <v>40</v>
      </c>
      <c r="C9" s="277" t="s">
        <v>63</v>
      </c>
      <c r="D9" s="264" t="s">
        <v>272</v>
      </c>
      <c r="E9" s="277" t="s">
        <v>63</v>
      </c>
      <c r="F9" s="278"/>
      <c r="G9" s="277" t="s">
        <v>63</v>
      </c>
      <c r="H9" s="264" t="s">
        <v>95</v>
      </c>
      <c r="I9" s="278"/>
      <c r="J9" s="278"/>
      <c r="K9" s="288" t="s">
        <v>281</v>
      </c>
      <c r="L9" s="264" t="s">
        <v>95</v>
      </c>
      <c r="M9" s="279"/>
      <c r="N9" s="264" t="s">
        <v>272</v>
      </c>
      <c r="O9" s="280"/>
      <c r="P9" s="281"/>
      <c r="Q9" s="280"/>
      <c r="R9" s="264" t="s">
        <v>95</v>
      </c>
      <c r="S9" s="278"/>
      <c r="T9" s="278"/>
      <c r="U9" s="336" t="s">
        <v>294</v>
      </c>
      <c r="V9" s="264" t="s">
        <v>98</v>
      </c>
    </row>
    <row r="10" spans="1:22" ht="19.5" customHeight="1">
      <c r="A10" s="475"/>
      <c r="B10" s="261" t="s">
        <v>47</v>
      </c>
      <c r="C10" s="277" t="s">
        <v>277</v>
      </c>
      <c r="D10" s="264" t="s">
        <v>96</v>
      </c>
      <c r="E10" s="277" t="s">
        <v>277</v>
      </c>
      <c r="F10" s="278"/>
      <c r="G10" s="277" t="s">
        <v>277</v>
      </c>
      <c r="H10" s="264" t="s">
        <v>97</v>
      </c>
      <c r="I10" s="278"/>
      <c r="J10" s="278"/>
      <c r="K10" s="288" t="s">
        <v>282</v>
      </c>
      <c r="L10" s="264" t="s">
        <v>97</v>
      </c>
      <c r="M10" s="279"/>
      <c r="N10" s="264" t="s">
        <v>96</v>
      </c>
      <c r="O10" s="280"/>
      <c r="P10" s="281"/>
      <c r="Q10" s="280"/>
      <c r="R10" s="264" t="s">
        <v>97</v>
      </c>
      <c r="S10" s="278"/>
      <c r="T10" s="278"/>
      <c r="U10" s="336" t="s">
        <v>295</v>
      </c>
      <c r="V10" s="264" t="s">
        <v>96</v>
      </c>
    </row>
    <row r="11" spans="1:22" ht="44.25" customHeight="1">
      <c r="A11" s="475"/>
      <c r="B11" s="260" t="s">
        <v>38</v>
      </c>
      <c r="C11" s="254" t="s">
        <v>299</v>
      </c>
      <c r="D11" s="256" t="s">
        <v>303</v>
      </c>
      <c r="E11" s="254" t="s">
        <v>300</v>
      </c>
      <c r="F11" s="251"/>
      <c r="G11" s="254" t="s">
        <v>305</v>
      </c>
      <c r="H11" s="256" t="s">
        <v>301</v>
      </c>
      <c r="I11" s="251"/>
      <c r="J11" s="251"/>
      <c r="K11" s="255" t="s">
        <v>306</v>
      </c>
      <c r="L11" s="256" t="s">
        <v>302</v>
      </c>
      <c r="M11" s="252"/>
      <c r="N11" s="303" t="s">
        <v>301</v>
      </c>
      <c r="O11" s="252"/>
      <c r="P11" s="253"/>
      <c r="Q11" s="252"/>
      <c r="R11" s="304" t="s">
        <v>301</v>
      </c>
      <c r="S11" s="252"/>
      <c r="T11" s="252"/>
      <c r="U11" s="337" t="s">
        <v>322</v>
      </c>
      <c r="V11" s="303" t="s">
        <v>296</v>
      </c>
    </row>
    <row r="12" spans="1:22" ht="19.5" customHeight="1">
      <c r="A12" s="476"/>
      <c r="B12" s="260" t="s">
        <v>5</v>
      </c>
      <c r="C12" s="271" t="s">
        <v>29</v>
      </c>
      <c r="D12" s="272" t="s">
        <v>270</v>
      </c>
      <c r="E12" s="271" t="s">
        <v>29</v>
      </c>
      <c r="F12" s="273"/>
      <c r="G12" s="271" t="s">
        <v>29</v>
      </c>
      <c r="H12" s="272" t="s">
        <v>270</v>
      </c>
      <c r="I12" s="273"/>
      <c r="J12" s="273"/>
      <c r="K12" s="286" t="s">
        <v>278</v>
      </c>
      <c r="L12" s="272" t="s">
        <v>270</v>
      </c>
      <c r="M12" s="274"/>
      <c r="N12" s="284" t="s">
        <v>270</v>
      </c>
      <c r="O12" s="273"/>
      <c r="P12" s="276"/>
      <c r="Q12" s="273"/>
      <c r="R12" s="284" t="s">
        <v>270</v>
      </c>
      <c r="S12" s="274"/>
      <c r="T12" s="274"/>
      <c r="U12" s="338" t="s">
        <v>58</v>
      </c>
      <c r="V12" s="284" t="s">
        <v>270</v>
      </c>
    </row>
    <row r="13" spans="1:22" ht="15.75" customHeight="1">
      <c r="A13" s="474" t="s">
        <v>292</v>
      </c>
      <c r="B13" s="259" t="s">
        <v>26</v>
      </c>
      <c r="C13" s="270"/>
      <c r="D13" s="265"/>
      <c r="E13" s="285" t="s">
        <v>30</v>
      </c>
      <c r="F13" s="265"/>
      <c r="G13" s="270"/>
      <c r="H13" s="270"/>
      <c r="I13" s="270"/>
      <c r="J13" s="270"/>
      <c r="K13" s="270"/>
      <c r="L13" s="270"/>
      <c r="M13" s="270"/>
      <c r="N13" s="270"/>
      <c r="P13" s="270"/>
      <c r="Q13" s="270"/>
      <c r="R13" s="270"/>
      <c r="S13" s="270"/>
      <c r="T13" s="270"/>
      <c r="U13" s="270"/>
      <c r="V13" s="270"/>
    </row>
    <row r="14" spans="1:22">
      <c r="A14" s="475"/>
      <c r="B14" s="260" t="s">
        <v>37</v>
      </c>
      <c r="C14" s="273"/>
      <c r="D14" s="265"/>
      <c r="E14" s="286" t="s">
        <v>279</v>
      </c>
      <c r="F14" s="265"/>
      <c r="G14" s="273"/>
      <c r="H14" s="273"/>
      <c r="I14" s="273"/>
      <c r="J14" s="273"/>
      <c r="K14" s="273"/>
      <c r="L14" s="273"/>
      <c r="M14" s="274"/>
      <c r="N14" s="273"/>
      <c r="P14" s="276"/>
      <c r="Q14" s="275"/>
      <c r="R14" s="273"/>
      <c r="S14" s="274"/>
      <c r="T14" s="274"/>
      <c r="U14" s="274"/>
      <c r="V14" s="273"/>
    </row>
    <row r="15" spans="1:22" ht="15.75" customHeight="1">
      <c r="A15" s="475"/>
      <c r="B15" s="260" t="s">
        <v>39</v>
      </c>
      <c r="C15" s="273"/>
      <c r="D15" s="265"/>
      <c r="E15" s="286" t="s">
        <v>280</v>
      </c>
      <c r="F15" s="265"/>
      <c r="G15" s="273"/>
      <c r="H15" s="273"/>
      <c r="I15" s="273"/>
      <c r="J15" s="273"/>
      <c r="K15" s="273"/>
      <c r="L15" s="266"/>
      <c r="M15" s="274"/>
      <c r="N15" s="266"/>
      <c r="P15" s="276"/>
      <c r="Q15" s="275"/>
      <c r="R15" s="266"/>
      <c r="S15" s="274"/>
      <c r="T15" s="274"/>
      <c r="U15" s="274"/>
      <c r="V15" s="266"/>
    </row>
    <row r="16" spans="1:22" ht="15.75" customHeight="1">
      <c r="A16" s="475"/>
      <c r="B16" s="261" t="s">
        <v>40</v>
      </c>
      <c r="C16" s="287"/>
      <c r="D16" s="265"/>
      <c r="E16" s="288" t="s">
        <v>281</v>
      </c>
      <c r="F16" s="265"/>
      <c r="G16" s="287"/>
      <c r="H16" s="266"/>
      <c r="I16" s="278"/>
      <c r="J16" s="278"/>
      <c r="K16" s="278"/>
      <c r="L16" s="266"/>
      <c r="M16" s="279"/>
      <c r="N16" s="266"/>
      <c r="P16" s="281"/>
      <c r="Q16" s="280"/>
      <c r="R16" s="266"/>
      <c r="S16" s="278"/>
      <c r="T16" s="278"/>
      <c r="U16" s="278"/>
      <c r="V16" s="266"/>
    </row>
    <row r="17" spans="1:22" ht="15.75" customHeight="1">
      <c r="A17" s="475"/>
      <c r="B17" s="261" t="s">
        <v>47</v>
      </c>
      <c r="C17" s="287"/>
      <c r="D17" s="265"/>
      <c r="E17" s="288" t="s">
        <v>282</v>
      </c>
      <c r="F17" s="265"/>
      <c r="G17" s="287"/>
      <c r="H17" s="266"/>
      <c r="I17" s="278"/>
      <c r="J17" s="278"/>
      <c r="K17" s="278"/>
      <c r="L17" s="266"/>
      <c r="M17" s="279"/>
      <c r="N17" s="266"/>
      <c r="P17" s="281"/>
      <c r="Q17" s="280"/>
      <c r="R17" s="266"/>
      <c r="S17" s="278"/>
      <c r="T17" s="278"/>
      <c r="U17" s="278"/>
      <c r="V17" s="266"/>
    </row>
    <row r="18" spans="1:22" ht="45" customHeight="1">
      <c r="A18" s="475"/>
      <c r="B18" s="260" t="s">
        <v>38</v>
      </c>
      <c r="C18" s="275"/>
      <c r="D18" s="265"/>
      <c r="E18" s="255" t="s">
        <v>304</v>
      </c>
      <c r="F18" s="265"/>
      <c r="G18" s="275"/>
      <c r="H18" s="275"/>
      <c r="I18" s="275"/>
      <c r="J18" s="275"/>
      <c r="K18" s="275"/>
      <c r="L18" s="275"/>
      <c r="M18" s="282"/>
      <c r="N18" s="282"/>
      <c r="P18" s="283"/>
      <c r="Q18" s="282"/>
      <c r="R18" s="283"/>
      <c r="S18" s="282"/>
      <c r="T18" s="282"/>
      <c r="U18" s="282"/>
      <c r="V18" s="282"/>
    </row>
    <row r="19" spans="1:22" ht="15.75" customHeight="1">
      <c r="A19" s="476"/>
      <c r="B19" s="260" t="s">
        <v>5</v>
      </c>
      <c r="C19" s="273"/>
      <c r="D19" s="265"/>
      <c r="E19" s="286" t="s">
        <v>278</v>
      </c>
      <c r="F19" s="265"/>
      <c r="G19" s="273"/>
      <c r="H19" s="273"/>
      <c r="I19" s="273"/>
      <c r="J19" s="273"/>
      <c r="K19" s="273"/>
      <c r="L19" s="273"/>
      <c r="M19" s="274"/>
      <c r="N19" s="274"/>
      <c r="P19" s="276"/>
      <c r="Q19" s="273"/>
      <c r="R19" s="274"/>
      <c r="S19" s="274"/>
      <c r="T19" s="274"/>
      <c r="U19" s="274"/>
      <c r="V19" s="274"/>
    </row>
  </sheetData>
  <mergeCells count="24">
    <mergeCell ref="A13:A19"/>
    <mergeCell ref="A6:A12"/>
    <mergeCell ref="M4:N4"/>
    <mergeCell ref="O4:P4"/>
    <mergeCell ref="Q4:R4"/>
    <mergeCell ref="E4:F4"/>
    <mergeCell ref="G4:H4"/>
    <mergeCell ref="I4:J4"/>
    <mergeCell ref="K4:L4"/>
    <mergeCell ref="A3:A5"/>
    <mergeCell ref="E3:F3"/>
    <mergeCell ref="G3:H3"/>
    <mergeCell ref="I3:J3"/>
    <mergeCell ref="K3:L3"/>
    <mergeCell ref="C3:D3"/>
    <mergeCell ref="C4:D4"/>
    <mergeCell ref="A1:B1"/>
    <mergeCell ref="S4:T4"/>
    <mergeCell ref="U4:V4"/>
    <mergeCell ref="M3:N3"/>
    <mergeCell ref="O3:P3"/>
    <mergeCell ref="Q3:R3"/>
    <mergeCell ref="S3:T3"/>
    <mergeCell ref="U3:V3"/>
  </mergeCells>
  <pageMargins left="0.7" right="0.7" top="0.75" bottom="0.75" header="0.3" footer="0.3"/>
  <pageSetup paperSize="9" fitToWidth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4"/>
  <sheetViews>
    <sheetView workbookViewId="0">
      <selection activeCell="B14" sqref="B14"/>
    </sheetView>
  </sheetViews>
  <sheetFormatPr baseColWidth="10" defaultRowHeight="15"/>
  <cols>
    <col min="1" max="1" width="3.7109375" customWidth="1"/>
    <col min="2" max="2" width="22.28515625" customWidth="1"/>
    <col min="3" max="3" width="15" customWidth="1"/>
    <col min="4" max="4" width="14.28515625" customWidth="1"/>
    <col min="5" max="5" width="13.85546875" customWidth="1"/>
    <col min="6" max="6" width="14.5703125" customWidth="1"/>
    <col min="7" max="8" width="14.140625" customWidth="1"/>
    <col min="10" max="10" width="15.140625" customWidth="1"/>
  </cols>
  <sheetData>
    <row r="1" spans="2:11" ht="20.25" thickBot="1">
      <c r="B1" s="482" t="s">
        <v>307</v>
      </c>
      <c r="C1" s="442"/>
      <c r="D1" s="442"/>
      <c r="E1" s="442"/>
      <c r="F1" s="442"/>
      <c r="G1" s="442"/>
      <c r="H1" s="442"/>
      <c r="I1" s="442"/>
      <c r="J1" s="443"/>
    </row>
    <row r="2" spans="2:11" ht="15.75" thickBot="1">
      <c r="B2" s="2"/>
      <c r="C2" s="2"/>
      <c r="D2" s="2"/>
      <c r="E2" s="2"/>
      <c r="F2" s="2"/>
      <c r="G2" s="2"/>
      <c r="H2" s="2"/>
    </row>
    <row r="3" spans="2:11" ht="38.25" customHeight="1" thickBot="1">
      <c r="B3" s="126"/>
      <c r="C3" s="127" t="s">
        <v>53</v>
      </c>
      <c r="D3" s="131" t="s">
        <v>55</v>
      </c>
      <c r="E3" s="319" t="s">
        <v>17</v>
      </c>
      <c r="F3" s="320" t="s">
        <v>22</v>
      </c>
      <c r="G3" s="320" t="s">
        <v>23</v>
      </c>
      <c r="H3" s="321" t="s">
        <v>24</v>
      </c>
      <c r="I3" s="322" t="s">
        <v>21</v>
      </c>
      <c r="J3" s="323" t="s">
        <v>62</v>
      </c>
      <c r="K3" s="323" t="s">
        <v>323</v>
      </c>
    </row>
    <row r="4" spans="2:11">
      <c r="B4" s="312" t="s">
        <v>160</v>
      </c>
      <c r="C4" s="313" t="s">
        <v>210</v>
      </c>
      <c r="D4" s="313" t="s">
        <v>210</v>
      </c>
      <c r="E4" s="314">
        <v>40950</v>
      </c>
      <c r="F4" s="315">
        <v>1</v>
      </c>
      <c r="G4" s="316"/>
      <c r="H4" s="317">
        <f t="shared" ref="H4:H13" si="0">SUM(F4:G4)</f>
        <v>1</v>
      </c>
      <c r="I4" s="318">
        <f t="shared" ref="I4:I13" si="1">H4*15</f>
        <v>15</v>
      </c>
      <c r="J4" s="333">
        <v>1</v>
      </c>
      <c r="K4" s="333" t="s">
        <v>118</v>
      </c>
    </row>
    <row r="5" spans="2:11">
      <c r="B5" s="7" t="s">
        <v>170</v>
      </c>
      <c r="C5" s="302" t="s">
        <v>309</v>
      </c>
      <c r="D5" s="302" t="s">
        <v>248</v>
      </c>
      <c r="E5" s="68">
        <v>39905</v>
      </c>
      <c r="F5" s="175">
        <v>1</v>
      </c>
      <c r="G5" s="149"/>
      <c r="H5" s="150">
        <f t="shared" si="0"/>
        <v>1</v>
      </c>
      <c r="I5" s="155">
        <f t="shared" si="1"/>
        <v>15</v>
      </c>
      <c r="J5" s="164">
        <v>1</v>
      </c>
      <c r="K5" s="164" t="s">
        <v>118</v>
      </c>
    </row>
    <row r="6" spans="2:11">
      <c r="B6" s="7" t="s">
        <v>308</v>
      </c>
      <c r="C6" s="4" t="s">
        <v>196</v>
      </c>
      <c r="D6" s="141" t="s">
        <v>231</v>
      </c>
      <c r="E6" s="68">
        <v>40571</v>
      </c>
      <c r="F6" s="307">
        <v>1</v>
      </c>
      <c r="G6" s="149"/>
      <c r="H6" s="150">
        <f t="shared" si="0"/>
        <v>1</v>
      </c>
      <c r="I6" s="155">
        <f t="shared" si="1"/>
        <v>15</v>
      </c>
      <c r="J6" s="164">
        <v>1</v>
      </c>
      <c r="K6" s="164" t="s">
        <v>118</v>
      </c>
    </row>
    <row r="7" spans="2:11">
      <c r="B7" s="7" t="s">
        <v>69</v>
      </c>
      <c r="C7" s="4" t="s">
        <v>192</v>
      </c>
      <c r="D7" s="141" t="s">
        <v>227</v>
      </c>
      <c r="E7" s="68">
        <v>40609</v>
      </c>
      <c r="F7" s="175">
        <v>3</v>
      </c>
      <c r="G7" s="149"/>
      <c r="H7" s="150">
        <f t="shared" si="0"/>
        <v>3</v>
      </c>
      <c r="I7" s="155">
        <f t="shared" si="1"/>
        <v>45</v>
      </c>
      <c r="J7" s="164">
        <v>3</v>
      </c>
      <c r="K7" s="164" t="s">
        <v>118</v>
      </c>
    </row>
    <row r="8" spans="2:11">
      <c r="B8" s="7" t="s">
        <v>121</v>
      </c>
      <c r="C8" s="302" t="s">
        <v>186</v>
      </c>
      <c r="D8" s="302" t="s">
        <v>220</v>
      </c>
      <c r="E8" s="68">
        <v>40325</v>
      </c>
      <c r="F8" s="307">
        <v>3</v>
      </c>
      <c r="G8" s="149">
        <v>2</v>
      </c>
      <c r="H8" s="150">
        <f t="shared" si="0"/>
        <v>5</v>
      </c>
      <c r="I8" s="155">
        <f t="shared" si="1"/>
        <v>75</v>
      </c>
      <c r="J8" s="164">
        <v>5</v>
      </c>
      <c r="K8" s="164" t="s">
        <v>118</v>
      </c>
    </row>
    <row r="9" spans="2:11">
      <c r="B9" s="7" t="s">
        <v>99</v>
      </c>
      <c r="C9" s="4" t="s">
        <v>197</v>
      </c>
      <c r="D9" s="4" t="s">
        <v>232</v>
      </c>
      <c r="E9" s="68">
        <v>39609</v>
      </c>
      <c r="F9" s="175">
        <v>1</v>
      </c>
      <c r="G9" s="149">
        <v>1</v>
      </c>
      <c r="H9" s="150">
        <f t="shared" si="0"/>
        <v>2</v>
      </c>
      <c r="I9" s="155">
        <f t="shared" si="1"/>
        <v>30</v>
      </c>
      <c r="J9" s="164">
        <v>2</v>
      </c>
      <c r="K9" s="164" t="s">
        <v>118</v>
      </c>
    </row>
    <row r="10" spans="2:11">
      <c r="B10" s="220" t="s">
        <v>262</v>
      </c>
      <c r="C10" s="302" t="s">
        <v>263</v>
      </c>
      <c r="D10" s="302" t="s">
        <v>264</v>
      </c>
      <c r="E10" s="68">
        <v>40940</v>
      </c>
      <c r="F10" s="307">
        <v>1</v>
      </c>
      <c r="G10" s="149"/>
      <c r="H10" s="150">
        <f t="shared" si="0"/>
        <v>1</v>
      </c>
      <c r="I10" s="155">
        <f t="shared" si="1"/>
        <v>15</v>
      </c>
      <c r="J10" s="164">
        <v>1</v>
      </c>
      <c r="K10" s="164" t="s">
        <v>118</v>
      </c>
    </row>
    <row r="11" spans="2:11">
      <c r="B11" s="7" t="s">
        <v>64</v>
      </c>
      <c r="C11" s="4" t="s">
        <v>199</v>
      </c>
      <c r="D11" s="4" t="s">
        <v>234</v>
      </c>
      <c r="E11" s="68">
        <v>39589</v>
      </c>
      <c r="F11" s="307"/>
      <c r="G11" s="149">
        <v>1</v>
      </c>
      <c r="H11" s="150">
        <f t="shared" si="0"/>
        <v>1</v>
      </c>
      <c r="I11" s="155">
        <f t="shared" si="1"/>
        <v>15</v>
      </c>
      <c r="J11" s="164">
        <v>1</v>
      </c>
      <c r="K11" s="164" t="s">
        <v>118</v>
      </c>
    </row>
    <row r="12" spans="2:11">
      <c r="B12" s="7"/>
      <c r="C12" s="3"/>
      <c r="D12" s="3"/>
      <c r="E12" s="68"/>
      <c r="F12" s="177"/>
      <c r="G12" s="149"/>
      <c r="H12" s="150">
        <f t="shared" si="0"/>
        <v>0</v>
      </c>
      <c r="I12" s="155">
        <f t="shared" si="1"/>
        <v>0</v>
      </c>
      <c r="J12" s="164"/>
      <c r="K12" s="164"/>
    </row>
    <row r="13" spans="2:11">
      <c r="B13" s="7"/>
      <c r="C13" s="4"/>
      <c r="D13" s="4"/>
      <c r="E13" s="68"/>
      <c r="F13" s="307"/>
      <c r="G13" s="149"/>
      <c r="H13" s="150">
        <f t="shared" si="0"/>
        <v>0</v>
      </c>
      <c r="I13" s="155">
        <f t="shared" si="1"/>
        <v>0</v>
      </c>
      <c r="J13" s="164"/>
      <c r="K13" s="164"/>
    </row>
    <row r="14" spans="2:11" ht="15.75" thickBot="1">
      <c r="B14" s="309">
        <f>COUNTA(B4:B13)</f>
        <v>8</v>
      </c>
      <c r="C14" s="310"/>
      <c r="D14" s="310"/>
      <c r="E14" s="311"/>
      <c r="F14" s="308">
        <f>SUM(F4:F13)</f>
        <v>11</v>
      </c>
      <c r="G14" s="158">
        <f>SUM(G4:G13)</f>
        <v>4</v>
      </c>
      <c r="H14" s="150">
        <f>SUM(H4:H13)</f>
        <v>15</v>
      </c>
      <c r="I14" s="155">
        <f>SUM(I4:I12)</f>
        <v>225</v>
      </c>
      <c r="J14" s="164"/>
      <c r="K14" s="164"/>
    </row>
  </sheetData>
  <autoFilter ref="B3:K14"/>
  <mergeCells count="1">
    <mergeCell ref="B1:J1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65"/>
  <sheetViews>
    <sheetView tabSelected="1" topLeftCell="A93" zoomScale="68" zoomScaleNormal="68" workbookViewId="0">
      <selection activeCell="K107" sqref="K107"/>
    </sheetView>
  </sheetViews>
  <sheetFormatPr baseColWidth="10" defaultRowHeight="15.75"/>
  <cols>
    <col min="1" max="1" width="11" style="301" bestFit="1" customWidth="1"/>
    <col min="2" max="2" width="14" style="262" customWidth="1"/>
    <col min="3" max="12" width="21.42578125" style="263" customWidth="1"/>
    <col min="13" max="13" width="6.42578125" bestFit="1" customWidth="1"/>
    <col min="14" max="14" width="31" customWidth="1"/>
    <col min="15" max="15" width="25.85546875" customWidth="1"/>
    <col min="16" max="16" width="4.85546875" bestFit="1" customWidth="1"/>
    <col min="17" max="17" width="6.42578125" bestFit="1" customWidth="1"/>
    <col min="18" max="18" width="25" bestFit="1" customWidth="1"/>
    <col min="19" max="19" width="6.42578125" bestFit="1" customWidth="1"/>
    <col min="20" max="20" width="4.85546875" bestFit="1" customWidth="1"/>
    <col min="21" max="21" width="6.42578125" bestFit="1" customWidth="1"/>
    <col min="22" max="22" width="25" bestFit="1" customWidth="1"/>
  </cols>
  <sheetData>
    <row r="1" spans="1:15" ht="35.25" thickBot="1">
      <c r="A1" s="501" t="s">
        <v>297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3"/>
    </row>
    <row r="3" spans="1:15">
      <c r="A3" s="485" t="s">
        <v>310</v>
      </c>
      <c r="B3" s="258" t="s">
        <v>268</v>
      </c>
      <c r="C3" s="483">
        <v>46209</v>
      </c>
      <c r="D3" s="484"/>
      <c r="E3" s="483">
        <v>46210</v>
      </c>
      <c r="F3" s="484"/>
      <c r="G3" s="483">
        <v>46211</v>
      </c>
      <c r="H3" s="484"/>
      <c r="I3" s="483">
        <v>46212</v>
      </c>
      <c r="J3" s="484"/>
      <c r="K3" s="483">
        <v>46213</v>
      </c>
      <c r="L3" s="484"/>
      <c r="N3" s="483">
        <v>46207</v>
      </c>
      <c r="O3" s="484"/>
    </row>
    <row r="4" spans="1:15">
      <c r="A4" s="486"/>
      <c r="B4" s="258" t="s">
        <v>269</v>
      </c>
      <c r="C4" s="267" t="s">
        <v>50</v>
      </c>
      <c r="D4" s="267" t="s">
        <v>49</v>
      </c>
      <c r="E4" s="267" t="s">
        <v>50</v>
      </c>
      <c r="F4" s="267" t="s">
        <v>49</v>
      </c>
      <c r="G4" s="267" t="s">
        <v>50</v>
      </c>
      <c r="H4" s="267" t="s">
        <v>49</v>
      </c>
      <c r="I4" s="267" t="s">
        <v>50</v>
      </c>
      <c r="J4" s="267" t="s">
        <v>49</v>
      </c>
      <c r="K4" s="267" t="s">
        <v>50</v>
      </c>
      <c r="L4" s="267" t="s">
        <v>49</v>
      </c>
      <c r="N4" s="267" t="s">
        <v>50</v>
      </c>
      <c r="O4" s="267" t="s">
        <v>49</v>
      </c>
    </row>
    <row r="5" spans="1:15" ht="19.5" customHeight="1">
      <c r="A5" s="489" t="s">
        <v>390</v>
      </c>
      <c r="B5" s="259" t="s">
        <v>26</v>
      </c>
      <c r="C5" s="353" t="s">
        <v>342</v>
      </c>
      <c r="D5" s="24" t="s">
        <v>343</v>
      </c>
      <c r="E5" s="353" t="s">
        <v>342</v>
      </c>
      <c r="F5" s="353" t="s">
        <v>343</v>
      </c>
      <c r="G5" s="353" t="s">
        <v>342</v>
      </c>
      <c r="H5" s="353" t="s">
        <v>343</v>
      </c>
      <c r="I5" s="353" t="s">
        <v>342</v>
      </c>
      <c r="J5" s="353" t="s">
        <v>343</v>
      </c>
      <c r="K5" s="353" t="s">
        <v>342</v>
      </c>
      <c r="L5" s="353" t="s">
        <v>343</v>
      </c>
      <c r="N5" s="182" t="s">
        <v>362</v>
      </c>
      <c r="O5" s="182" t="s">
        <v>363</v>
      </c>
    </row>
    <row r="6" spans="1:15" ht="78.75" customHeight="1">
      <c r="A6" s="490"/>
      <c r="B6" s="260" t="s">
        <v>37</v>
      </c>
      <c r="C6" s="351" t="s">
        <v>344</v>
      </c>
      <c r="D6" s="351" t="s">
        <v>344</v>
      </c>
      <c r="E6" s="351" t="s">
        <v>344</v>
      </c>
      <c r="F6" s="351" t="s">
        <v>344</v>
      </c>
      <c r="G6" s="351" t="s">
        <v>344</v>
      </c>
      <c r="H6" s="351" t="s">
        <v>344</v>
      </c>
      <c r="I6" s="351" t="s">
        <v>344</v>
      </c>
      <c r="J6" s="351" t="s">
        <v>344</v>
      </c>
      <c r="K6" s="351" t="s">
        <v>344</v>
      </c>
      <c r="L6" s="351" t="s">
        <v>344</v>
      </c>
      <c r="N6" s="351" t="s">
        <v>364</v>
      </c>
      <c r="O6" s="351" t="s">
        <v>368</v>
      </c>
    </row>
    <row r="7" spans="1:15" ht="19.5" customHeight="1">
      <c r="A7" s="490"/>
      <c r="B7" s="260" t="s">
        <v>39</v>
      </c>
      <c r="C7" s="182" t="s">
        <v>273</v>
      </c>
      <c r="D7" s="182" t="s">
        <v>273</v>
      </c>
      <c r="E7" s="182" t="s">
        <v>273</v>
      </c>
      <c r="F7" s="182" t="s">
        <v>273</v>
      </c>
      <c r="G7" s="182" t="s">
        <v>273</v>
      </c>
      <c r="H7" s="182" t="s">
        <v>273</v>
      </c>
      <c r="I7" s="182" t="s">
        <v>273</v>
      </c>
      <c r="J7" s="182" t="s">
        <v>273</v>
      </c>
      <c r="K7" s="182" t="s">
        <v>273</v>
      </c>
      <c r="L7" s="182" t="s">
        <v>273</v>
      </c>
      <c r="N7" s="182" t="s">
        <v>155</v>
      </c>
      <c r="O7" s="182" t="s">
        <v>155</v>
      </c>
    </row>
    <row r="8" spans="1:15" ht="19.5" customHeight="1">
      <c r="A8" s="490"/>
      <c r="B8" s="261" t="s">
        <v>40</v>
      </c>
      <c r="C8" s="182" t="s">
        <v>345</v>
      </c>
      <c r="D8" s="182" t="s">
        <v>345</v>
      </c>
      <c r="E8" s="182" t="s">
        <v>345</v>
      </c>
      <c r="F8" s="182" t="s">
        <v>345</v>
      </c>
      <c r="G8" s="182" t="s">
        <v>345</v>
      </c>
      <c r="H8" s="182" t="s">
        <v>345</v>
      </c>
      <c r="I8" s="182" t="s">
        <v>345</v>
      </c>
      <c r="J8" s="182" t="s">
        <v>345</v>
      </c>
      <c r="K8" s="182" t="s">
        <v>345</v>
      </c>
      <c r="L8" s="182" t="s">
        <v>345</v>
      </c>
      <c r="N8" s="182" t="s">
        <v>365</v>
      </c>
      <c r="O8" s="182" t="s">
        <v>365</v>
      </c>
    </row>
    <row r="9" spans="1:15" ht="19.5" customHeight="1">
      <c r="A9" s="490"/>
      <c r="B9" s="261" t="s">
        <v>47</v>
      </c>
      <c r="C9" s="182" t="s">
        <v>346</v>
      </c>
      <c r="D9" s="182" t="s">
        <v>346</v>
      </c>
      <c r="E9" s="182" t="s">
        <v>346</v>
      </c>
      <c r="F9" s="182" t="s">
        <v>346</v>
      </c>
      <c r="G9" s="182" t="s">
        <v>346</v>
      </c>
      <c r="H9" s="182" t="s">
        <v>346</v>
      </c>
      <c r="I9" s="182" t="s">
        <v>346</v>
      </c>
      <c r="J9" s="182" t="s">
        <v>346</v>
      </c>
      <c r="K9" s="182" t="s">
        <v>346</v>
      </c>
      <c r="L9" s="182" t="s">
        <v>346</v>
      </c>
      <c r="N9" s="182" t="s">
        <v>360</v>
      </c>
      <c r="O9" s="182" t="s">
        <v>360</v>
      </c>
    </row>
    <row r="10" spans="1:15" s="405" customFormat="1" ht="44.25" customHeight="1">
      <c r="A10" s="490"/>
      <c r="B10" s="403" t="s">
        <v>313</v>
      </c>
      <c r="C10" s="404" t="s">
        <v>435</v>
      </c>
      <c r="D10" s="404">
        <v>1</v>
      </c>
      <c r="E10" s="404">
        <v>1</v>
      </c>
      <c r="F10" s="404">
        <v>1</v>
      </c>
      <c r="G10" s="404">
        <v>1</v>
      </c>
      <c r="H10" s="404" t="s">
        <v>411</v>
      </c>
      <c r="I10" s="404">
        <v>1</v>
      </c>
      <c r="J10" s="404" t="s">
        <v>412</v>
      </c>
      <c r="K10" s="404" t="s">
        <v>433</v>
      </c>
      <c r="L10" s="404" t="s">
        <v>413</v>
      </c>
      <c r="N10" s="415" t="s">
        <v>432</v>
      </c>
      <c r="O10" s="415" t="s">
        <v>424</v>
      </c>
    </row>
    <row r="11" spans="1:15" ht="60" customHeight="1" thickBot="1">
      <c r="A11" s="491"/>
      <c r="B11" s="356" t="s">
        <v>5</v>
      </c>
      <c r="C11" s="371" t="s">
        <v>347</v>
      </c>
      <c r="D11" s="371" t="s">
        <v>347</v>
      </c>
      <c r="E11" s="371" t="s">
        <v>347</v>
      </c>
      <c r="F11" s="371" t="s">
        <v>347</v>
      </c>
      <c r="G11" s="371" t="s">
        <v>347</v>
      </c>
      <c r="H11" s="371" t="s">
        <v>347</v>
      </c>
      <c r="I11" s="371" t="s">
        <v>347</v>
      </c>
      <c r="J11" s="371" t="s">
        <v>347</v>
      </c>
      <c r="K11" s="371" t="s">
        <v>347</v>
      </c>
      <c r="L11" s="371" t="s">
        <v>347</v>
      </c>
      <c r="N11" s="352" t="s">
        <v>155</v>
      </c>
      <c r="O11" s="352" t="s">
        <v>155</v>
      </c>
    </row>
    <row r="12" spans="1:15" ht="15.75" customHeight="1">
      <c r="A12" s="492" t="s">
        <v>391</v>
      </c>
      <c r="B12" s="376" t="s">
        <v>26</v>
      </c>
      <c r="C12" s="377" t="s">
        <v>377</v>
      </c>
      <c r="D12" s="378"/>
      <c r="E12" s="379" t="s">
        <v>377</v>
      </c>
      <c r="F12" s="380" t="s">
        <v>44</v>
      </c>
      <c r="G12" s="381" t="s">
        <v>353</v>
      </c>
      <c r="H12" s="382"/>
      <c r="I12" s="380" t="s">
        <v>30</v>
      </c>
      <c r="J12" s="380" t="s">
        <v>44</v>
      </c>
      <c r="K12" s="380" t="s">
        <v>30</v>
      </c>
      <c r="L12" s="382"/>
      <c r="N12" s="182"/>
      <c r="O12" s="182"/>
    </row>
    <row r="13" spans="1:15" ht="37.15" customHeight="1">
      <c r="A13" s="490"/>
      <c r="B13" s="260" t="s">
        <v>37</v>
      </c>
      <c r="C13" s="362" t="s">
        <v>348</v>
      </c>
      <c r="D13" s="359"/>
      <c r="E13" s="362" t="s">
        <v>352</v>
      </c>
      <c r="F13" s="360" t="s">
        <v>371</v>
      </c>
      <c r="G13" s="383" t="s">
        <v>393</v>
      </c>
      <c r="H13" s="359"/>
      <c r="I13" s="360" t="s">
        <v>371</v>
      </c>
      <c r="J13" s="352" t="s">
        <v>371</v>
      </c>
      <c r="K13" s="352" t="s">
        <v>380</v>
      </c>
      <c r="L13" s="182"/>
      <c r="N13" s="182"/>
      <c r="O13" s="182"/>
    </row>
    <row r="14" spans="1:15" ht="42" customHeight="1">
      <c r="A14" s="490"/>
      <c r="B14" s="260" t="s">
        <v>39</v>
      </c>
      <c r="C14" s="363" t="s">
        <v>349</v>
      </c>
      <c r="D14" s="182"/>
      <c r="E14" s="363" t="s">
        <v>349</v>
      </c>
      <c r="F14" s="352" t="s">
        <v>372</v>
      </c>
      <c r="G14" s="365" t="s">
        <v>354</v>
      </c>
      <c r="H14" s="182"/>
      <c r="I14" s="352" t="s">
        <v>372</v>
      </c>
      <c r="J14" s="352" t="s">
        <v>372</v>
      </c>
      <c r="K14" s="369" t="s">
        <v>381</v>
      </c>
      <c r="L14" s="182"/>
      <c r="N14" s="182"/>
      <c r="O14" s="182"/>
    </row>
    <row r="15" spans="1:15" ht="15.75" customHeight="1">
      <c r="A15" s="490"/>
      <c r="B15" s="261" t="s">
        <v>40</v>
      </c>
      <c r="C15" s="363" t="s">
        <v>350</v>
      </c>
      <c r="D15" s="182"/>
      <c r="E15" s="363" t="s">
        <v>350</v>
      </c>
      <c r="F15" s="182" t="s">
        <v>373</v>
      </c>
      <c r="G15" s="364" t="s">
        <v>355</v>
      </c>
      <c r="H15" s="182"/>
      <c r="I15" s="182" t="s">
        <v>373</v>
      </c>
      <c r="J15" s="182" t="s">
        <v>373</v>
      </c>
      <c r="K15" s="182" t="s">
        <v>382</v>
      </c>
      <c r="L15" s="182"/>
      <c r="N15" s="182"/>
      <c r="O15" s="182"/>
    </row>
    <row r="16" spans="1:15" ht="15.75" customHeight="1">
      <c r="A16" s="490"/>
      <c r="B16" s="261" t="s">
        <v>47</v>
      </c>
      <c r="C16" s="363" t="s">
        <v>277</v>
      </c>
      <c r="D16" s="182"/>
      <c r="E16" s="363" t="s">
        <v>277</v>
      </c>
      <c r="F16" s="182" t="s">
        <v>374</v>
      </c>
      <c r="G16" s="165" t="s">
        <v>357</v>
      </c>
      <c r="H16" s="182"/>
      <c r="I16" s="182" t="s">
        <v>374</v>
      </c>
      <c r="J16" s="182" t="s">
        <v>374</v>
      </c>
      <c r="K16" s="370"/>
      <c r="L16" s="182"/>
      <c r="N16" s="182"/>
      <c r="O16" s="182"/>
    </row>
    <row r="17" spans="1:15" s="405" customFormat="1" ht="81" customHeight="1">
      <c r="A17" s="490"/>
      <c r="B17" s="403" t="s">
        <v>313</v>
      </c>
      <c r="C17" s="417" t="s">
        <v>426</v>
      </c>
      <c r="D17" s="404"/>
      <c r="E17" s="417" t="s">
        <v>427</v>
      </c>
      <c r="F17" s="404" t="s">
        <v>433</v>
      </c>
      <c r="G17" s="404" t="s">
        <v>434</v>
      </c>
      <c r="H17" s="404"/>
      <c r="I17" s="404" t="s">
        <v>425</v>
      </c>
      <c r="J17" s="404">
        <v>1</v>
      </c>
      <c r="K17" s="404" t="s">
        <v>425</v>
      </c>
      <c r="L17" s="404"/>
      <c r="N17" s="404"/>
      <c r="O17" s="404"/>
    </row>
    <row r="18" spans="1:15" ht="15.75" customHeight="1" thickBot="1">
      <c r="A18" s="491"/>
      <c r="B18" s="356" t="s">
        <v>5</v>
      </c>
      <c r="C18" s="384" t="s">
        <v>351</v>
      </c>
      <c r="D18" s="357"/>
      <c r="E18" s="384" t="s">
        <v>351</v>
      </c>
      <c r="F18" s="357" t="s">
        <v>375</v>
      </c>
      <c r="G18" s="385" t="s">
        <v>356</v>
      </c>
      <c r="H18" s="357"/>
      <c r="I18" s="357" t="s">
        <v>375</v>
      </c>
      <c r="J18" s="357" t="s">
        <v>375</v>
      </c>
      <c r="K18" s="357" t="s">
        <v>383</v>
      </c>
      <c r="L18" s="357"/>
      <c r="N18" s="182"/>
      <c r="O18" s="182"/>
    </row>
    <row r="19" spans="1:15" ht="15.75" customHeight="1">
      <c r="A19" s="493" t="s">
        <v>392</v>
      </c>
      <c r="B19" s="354" t="s">
        <v>26</v>
      </c>
      <c r="C19" s="372"/>
      <c r="D19" s="373"/>
      <c r="E19" s="358" t="s">
        <v>30</v>
      </c>
      <c r="F19" s="374"/>
      <c r="G19" s="375"/>
      <c r="H19" s="374"/>
      <c r="I19" s="374"/>
      <c r="J19" s="374"/>
      <c r="K19" s="355"/>
      <c r="L19" s="355"/>
      <c r="N19" s="182"/>
      <c r="O19" s="182"/>
    </row>
    <row r="20" spans="1:15" ht="48" customHeight="1">
      <c r="A20" s="490"/>
      <c r="B20" s="260" t="s">
        <v>37</v>
      </c>
      <c r="C20" s="362"/>
      <c r="D20" s="359"/>
      <c r="E20" s="352" t="s">
        <v>378</v>
      </c>
      <c r="F20" s="360"/>
      <c r="G20" s="361"/>
      <c r="H20" s="359"/>
      <c r="I20" s="360"/>
      <c r="J20" s="352"/>
      <c r="K20" s="182"/>
      <c r="L20" s="182"/>
      <c r="N20" s="182"/>
      <c r="O20" s="182"/>
    </row>
    <row r="21" spans="1:15" ht="42" customHeight="1">
      <c r="A21" s="490"/>
      <c r="B21" s="260" t="s">
        <v>39</v>
      </c>
      <c r="C21" s="363"/>
      <c r="D21" s="182"/>
      <c r="E21" s="182" t="s">
        <v>58</v>
      </c>
      <c r="F21" s="352"/>
      <c r="G21" s="365"/>
      <c r="H21" s="182"/>
      <c r="I21" s="352"/>
      <c r="J21" s="352"/>
      <c r="K21" s="182"/>
      <c r="L21" s="182"/>
      <c r="N21" s="182"/>
      <c r="O21" s="182"/>
    </row>
    <row r="22" spans="1:15" ht="15.75" customHeight="1">
      <c r="A22" s="490"/>
      <c r="B22" s="261" t="s">
        <v>40</v>
      </c>
      <c r="C22" s="363"/>
      <c r="D22" s="182"/>
      <c r="E22" s="182" t="s">
        <v>379</v>
      </c>
      <c r="F22" s="182"/>
      <c r="G22" s="364"/>
      <c r="H22" s="182"/>
      <c r="I22" s="182"/>
      <c r="J22" s="182"/>
      <c r="K22" s="182"/>
      <c r="L22" s="182"/>
      <c r="N22" s="182"/>
      <c r="O22" s="182"/>
    </row>
    <row r="23" spans="1:15" ht="15.75" customHeight="1">
      <c r="A23" s="490"/>
      <c r="B23" s="261" t="s">
        <v>47</v>
      </c>
      <c r="C23" s="363"/>
      <c r="D23" s="182"/>
      <c r="E23" t="s">
        <v>389</v>
      </c>
      <c r="F23" s="182"/>
      <c r="G23"/>
      <c r="H23" s="182"/>
      <c r="I23" s="182"/>
      <c r="J23" s="182"/>
      <c r="K23" s="182"/>
      <c r="L23" s="182"/>
      <c r="N23" s="182"/>
      <c r="O23" s="182"/>
    </row>
    <row r="24" spans="1:15" s="405" customFormat="1" ht="45" customHeight="1">
      <c r="A24" s="490"/>
      <c r="B24" s="406" t="s">
        <v>313</v>
      </c>
      <c r="C24" s="407"/>
      <c r="D24" s="404"/>
      <c r="E24" s="407" t="s">
        <v>414</v>
      </c>
      <c r="F24" s="404"/>
      <c r="G24" s="408"/>
      <c r="H24" s="404"/>
      <c r="I24" s="404"/>
      <c r="J24" s="404"/>
      <c r="K24" s="404"/>
      <c r="L24" s="404"/>
      <c r="N24" s="404"/>
      <c r="O24" s="404"/>
    </row>
    <row r="25" spans="1:15" ht="15.75" customHeight="1">
      <c r="A25" s="494"/>
      <c r="B25" s="260" t="s">
        <v>5</v>
      </c>
      <c r="C25" s="363"/>
      <c r="D25" s="182"/>
      <c r="E25" s="363" t="s">
        <v>58</v>
      </c>
      <c r="F25" s="182"/>
      <c r="G25" s="181"/>
      <c r="H25" s="182"/>
      <c r="I25" s="182"/>
      <c r="J25" s="182"/>
      <c r="K25" s="182"/>
      <c r="L25" s="182"/>
      <c r="N25" s="182"/>
      <c r="O25" s="182"/>
    </row>
    <row r="26" spans="1:15" ht="15.75" customHeight="1">
      <c r="A26" s="366"/>
      <c r="B26" s="367"/>
      <c r="C26" s="368"/>
      <c r="D26" s="165"/>
      <c r="E26" s="368"/>
      <c r="F26" s="165"/>
      <c r="G26" s="234"/>
      <c r="H26" s="165"/>
      <c r="I26" s="165"/>
      <c r="J26" s="165"/>
      <c r="K26" s="165"/>
      <c r="L26" s="165"/>
      <c r="N26" s="165"/>
      <c r="O26" s="165"/>
    </row>
    <row r="27" spans="1:15" ht="15.75" customHeight="1">
      <c r="A27" s="366"/>
      <c r="B27" s="367"/>
      <c r="C27" s="368"/>
      <c r="D27" s="165"/>
      <c r="E27" s="368"/>
      <c r="F27" s="165"/>
      <c r="G27" s="234"/>
      <c r="H27" s="165"/>
      <c r="I27" s="165"/>
      <c r="J27" s="165"/>
      <c r="K27" s="165"/>
      <c r="L27" s="165"/>
      <c r="N27" s="165"/>
      <c r="O27" s="165"/>
    </row>
    <row r="30" spans="1:15">
      <c r="A30" s="485" t="s">
        <v>310</v>
      </c>
      <c r="B30" s="258" t="s">
        <v>268</v>
      </c>
      <c r="C30" s="483">
        <v>46216</v>
      </c>
      <c r="D30" s="484"/>
      <c r="E30" s="487">
        <v>46217</v>
      </c>
      <c r="F30" s="488"/>
      <c r="G30" s="483">
        <v>46218</v>
      </c>
      <c r="H30" s="484"/>
      <c r="I30" s="483">
        <v>46219</v>
      </c>
      <c r="J30" s="484"/>
      <c r="K30" s="483">
        <v>46220</v>
      </c>
      <c r="L30" s="484"/>
    </row>
    <row r="31" spans="1:15">
      <c r="A31" s="486"/>
      <c r="B31" s="258" t="s">
        <v>269</v>
      </c>
      <c r="C31" s="267" t="s">
        <v>50</v>
      </c>
      <c r="D31" s="267" t="s">
        <v>49</v>
      </c>
      <c r="E31" s="326" t="s">
        <v>50</v>
      </c>
      <c r="F31" s="326" t="s">
        <v>49</v>
      </c>
      <c r="G31" s="267" t="s">
        <v>50</v>
      </c>
      <c r="H31" s="267" t="s">
        <v>49</v>
      </c>
      <c r="I31" s="267" t="s">
        <v>50</v>
      </c>
      <c r="J31" s="267" t="s">
        <v>49</v>
      </c>
      <c r="K31" s="267" t="s">
        <v>50</v>
      </c>
      <c r="L31" s="267" t="s">
        <v>49</v>
      </c>
    </row>
    <row r="32" spans="1:15">
      <c r="A32" s="489" t="s">
        <v>291</v>
      </c>
      <c r="B32" s="259" t="s">
        <v>26</v>
      </c>
      <c r="C32" s="353" t="s">
        <v>342</v>
      </c>
      <c r="D32" s="353" t="s">
        <v>343</v>
      </c>
      <c r="E32" s="495" t="s">
        <v>311</v>
      </c>
      <c r="F32" s="496"/>
      <c r="G32" s="353" t="s">
        <v>342</v>
      </c>
      <c r="H32" s="353" t="s">
        <v>343</v>
      </c>
      <c r="I32" s="353" t="s">
        <v>342</v>
      </c>
      <c r="J32" s="353" t="s">
        <v>343</v>
      </c>
      <c r="K32" s="353" t="s">
        <v>342</v>
      </c>
      <c r="L32" s="353" t="s">
        <v>343</v>
      </c>
    </row>
    <row r="33" spans="1:12" ht="75">
      <c r="A33" s="490"/>
      <c r="B33" s="260" t="s">
        <v>37</v>
      </c>
      <c r="C33" s="351" t="s">
        <v>344</v>
      </c>
      <c r="D33" s="351" t="s">
        <v>344</v>
      </c>
      <c r="E33" s="497"/>
      <c r="F33" s="498"/>
      <c r="G33" s="351" t="s">
        <v>344</v>
      </c>
      <c r="H33" s="351" t="s">
        <v>344</v>
      </c>
      <c r="I33" s="351" t="s">
        <v>344</v>
      </c>
      <c r="J33" s="351" t="s">
        <v>344</v>
      </c>
      <c r="K33" s="351" t="s">
        <v>344</v>
      </c>
      <c r="L33" s="351" t="s">
        <v>344</v>
      </c>
    </row>
    <row r="34" spans="1:12">
      <c r="A34" s="490"/>
      <c r="B34" s="260" t="s">
        <v>39</v>
      </c>
      <c r="C34" s="182" t="s">
        <v>273</v>
      </c>
      <c r="D34" s="182" t="s">
        <v>273</v>
      </c>
      <c r="E34" s="497"/>
      <c r="F34" s="498"/>
      <c r="G34" s="182" t="s">
        <v>273</v>
      </c>
      <c r="H34" s="182" t="s">
        <v>273</v>
      </c>
      <c r="I34" s="182" t="s">
        <v>273</v>
      </c>
      <c r="J34" s="182" t="s">
        <v>273</v>
      </c>
      <c r="K34" s="182" t="s">
        <v>273</v>
      </c>
      <c r="L34" s="182" t="s">
        <v>273</v>
      </c>
    </row>
    <row r="35" spans="1:12">
      <c r="A35" s="490"/>
      <c r="B35" s="261" t="s">
        <v>40</v>
      </c>
      <c r="C35" s="182" t="s">
        <v>98</v>
      </c>
      <c r="D35" s="182" t="s">
        <v>98</v>
      </c>
      <c r="E35" s="497"/>
      <c r="F35" s="498"/>
      <c r="G35" s="182" t="s">
        <v>345</v>
      </c>
      <c r="H35" s="182" t="s">
        <v>345</v>
      </c>
      <c r="I35" s="182" t="s">
        <v>345</v>
      </c>
      <c r="J35" s="182" t="s">
        <v>345</v>
      </c>
      <c r="K35" s="182" t="s">
        <v>98</v>
      </c>
      <c r="L35" s="182" t="s">
        <v>98</v>
      </c>
    </row>
    <row r="36" spans="1:12">
      <c r="A36" s="490"/>
      <c r="B36" s="261" t="s">
        <v>47</v>
      </c>
      <c r="C36" s="182" t="s">
        <v>346</v>
      </c>
      <c r="D36" s="182" t="s">
        <v>346</v>
      </c>
      <c r="E36" s="497"/>
      <c r="F36" s="498"/>
      <c r="G36" s="182" t="s">
        <v>346</v>
      </c>
      <c r="H36" s="182" t="s">
        <v>346</v>
      </c>
      <c r="I36" s="182" t="s">
        <v>346</v>
      </c>
      <c r="J36" s="182" t="s">
        <v>346</v>
      </c>
      <c r="K36" s="182" t="s">
        <v>346</v>
      </c>
      <c r="L36" s="182" t="s">
        <v>346</v>
      </c>
    </row>
    <row r="37" spans="1:12" s="405" customFormat="1" ht="51.75" customHeight="1">
      <c r="A37" s="490"/>
      <c r="B37" s="406" t="s">
        <v>313</v>
      </c>
      <c r="C37" s="404">
        <v>1</v>
      </c>
      <c r="D37" s="404">
        <v>1</v>
      </c>
      <c r="E37" s="497"/>
      <c r="F37" s="498"/>
      <c r="G37" s="404" t="s">
        <v>425</v>
      </c>
      <c r="H37" s="404" t="s">
        <v>412</v>
      </c>
      <c r="I37" s="404">
        <v>1</v>
      </c>
      <c r="J37" s="404" t="s">
        <v>414</v>
      </c>
      <c r="K37" s="404">
        <v>1</v>
      </c>
      <c r="L37" s="404" t="s">
        <v>414</v>
      </c>
    </row>
    <row r="38" spans="1:12" s="410" customFormat="1" ht="32.25" customHeight="1">
      <c r="A38" s="494"/>
      <c r="B38" s="327" t="s">
        <v>5</v>
      </c>
      <c r="C38" s="352" t="s">
        <v>347</v>
      </c>
      <c r="D38" s="352" t="s">
        <v>347</v>
      </c>
      <c r="E38" s="497"/>
      <c r="F38" s="498"/>
      <c r="G38" s="352" t="s">
        <v>347</v>
      </c>
      <c r="H38" s="352" t="s">
        <v>347</v>
      </c>
      <c r="I38" s="352" t="s">
        <v>347</v>
      </c>
      <c r="J38" s="352" t="s">
        <v>347</v>
      </c>
      <c r="K38" s="352" t="s">
        <v>347</v>
      </c>
      <c r="L38" s="352" t="s">
        <v>347</v>
      </c>
    </row>
    <row r="39" spans="1:12">
      <c r="A39" s="489" t="s">
        <v>292</v>
      </c>
      <c r="B39" s="259" t="s">
        <v>26</v>
      </c>
      <c r="C39" s="182"/>
      <c r="D39" s="182"/>
      <c r="E39" s="497"/>
      <c r="F39" s="498"/>
      <c r="G39" s="182"/>
      <c r="H39" s="182"/>
      <c r="I39" s="182"/>
      <c r="J39" s="182"/>
      <c r="K39" s="353" t="s">
        <v>30</v>
      </c>
      <c r="L39" s="182"/>
    </row>
    <row r="40" spans="1:12" ht="75">
      <c r="A40" s="490"/>
      <c r="B40" s="260" t="s">
        <v>37</v>
      </c>
      <c r="C40" s="182"/>
      <c r="D40" s="182"/>
      <c r="E40" s="497"/>
      <c r="F40" s="498"/>
      <c r="G40" s="182"/>
      <c r="H40" s="182"/>
      <c r="I40" s="182"/>
      <c r="J40" s="182"/>
      <c r="K40" s="352" t="s">
        <v>384</v>
      </c>
      <c r="L40" s="182"/>
    </row>
    <row r="41" spans="1:12" ht="30">
      <c r="A41" s="490"/>
      <c r="B41" s="260" t="s">
        <v>39</v>
      </c>
      <c r="C41" s="182"/>
      <c r="D41" s="182"/>
      <c r="E41" s="497"/>
      <c r="F41" s="498"/>
      <c r="G41" s="182"/>
      <c r="H41" s="182"/>
      <c r="I41" s="182"/>
      <c r="J41" s="182"/>
      <c r="K41" s="369" t="s">
        <v>381</v>
      </c>
      <c r="L41" s="182"/>
    </row>
    <row r="42" spans="1:12">
      <c r="A42" s="490"/>
      <c r="B42" s="261" t="s">
        <v>40</v>
      </c>
      <c r="C42" s="182"/>
      <c r="D42" s="182"/>
      <c r="E42" s="497"/>
      <c r="F42" s="498"/>
      <c r="G42" s="182"/>
      <c r="H42" s="182"/>
      <c r="I42" s="182"/>
      <c r="J42" s="182"/>
      <c r="K42" s="182" t="s">
        <v>382</v>
      </c>
      <c r="L42" s="182"/>
    </row>
    <row r="43" spans="1:12">
      <c r="A43" s="490"/>
      <c r="B43" s="261" t="s">
        <v>47</v>
      </c>
      <c r="C43" s="182"/>
      <c r="D43" s="182"/>
      <c r="E43" s="497"/>
      <c r="F43" s="498"/>
      <c r="G43" s="182"/>
      <c r="H43" s="182"/>
      <c r="I43" s="182"/>
      <c r="J43" s="182"/>
      <c r="K43" s="370"/>
      <c r="L43" s="182"/>
    </row>
    <row r="44" spans="1:12" s="409" customFormat="1" ht="47.25">
      <c r="A44" s="490"/>
      <c r="B44" s="406" t="s">
        <v>313</v>
      </c>
      <c r="C44" s="408"/>
      <c r="D44" s="408"/>
      <c r="E44" s="497"/>
      <c r="F44" s="498"/>
      <c r="G44" s="408"/>
      <c r="H44" s="408"/>
      <c r="I44" s="408"/>
      <c r="J44" s="408"/>
      <c r="K44" s="408" t="s">
        <v>412</v>
      </c>
      <c r="L44" s="408"/>
    </row>
    <row r="45" spans="1:12">
      <c r="A45" s="494"/>
      <c r="B45" s="260" t="s">
        <v>5</v>
      </c>
      <c r="C45" s="182"/>
      <c r="D45" s="182"/>
      <c r="E45" s="499"/>
      <c r="F45" s="500"/>
      <c r="G45" s="182"/>
      <c r="H45" s="182"/>
      <c r="I45" s="182"/>
      <c r="J45" s="182"/>
      <c r="K45" s="182" t="s">
        <v>383</v>
      </c>
      <c r="L45" s="182"/>
    </row>
    <row r="46" spans="1:12" ht="15">
      <c r="A46"/>
      <c r="B46"/>
      <c r="C46"/>
      <c r="D46"/>
      <c r="E46"/>
      <c r="F46"/>
      <c r="G46"/>
      <c r="H46"/>
      <c r="I46"/>
      <c r="J46"/>
      <c r="K46"/>
      <c r="L46"/>
    </row>
    <row r="47" spans="1:12" ht="15">
      <c r="A47"/>
      <c r="B47"/>
      <c r="C47"/>
      <c r="D47"/>
      <c r="E47"/>
      <c r="F47"/>
      <c r="G47"/>
      <c r="H47"/>
      <c r="I47"/>
      <c r="J47"/>
      <c r="K47"/>
      <c r="L47"/>
    </row>
    <row r="48" spans="1:12" ht="15">
      <c r="A48"/>
      <c r="B48"/>
      <c r="C48"/>
      <c r="D48"/>
      <c r="E48"/>
      <c r="F48"/>
      <c r="G48"/>
      <c r="H48"/>
      <c r="I48"/>
      <c r="J48"/>
      <c r="K48"/>
      <c r="L48"/>
    </row>
    <row r="49" spans="1:12">
      <c r="A49" s="485" t="s">
        <v>310</v>
      </c>
      <c r="B49" s="258" t="s">
        <v>268</v>
      </c>
      <c r="C49" s="483">
        <v>46223</v>
      </c>
      <c r="D49" s="484"/>
      <c r="E49" s="483">
        <v>46224</v>
      </c>
      <c r="F49" s="484"/>
      <c r="G49" s="483">
        <v>46225</v>
      </c>
      <c r="H49" s="484"/>
      <c r="I49" s="483">
        <v>46226</v>
      </c>
      <c r="J49" s="484"/>
      <c r="K49" s="483">
        <v>46227</v>
      </c>
      <c r="L49" s="484"/>
    </row>
    <row r="50" spans="1:12">
      <c r="A50" s="486"/>
      <c r="B50" s="258" t="s">
        <v>269</v>
      </c>
      <c r="C50" s="267" t="s">
        <v>50</v>
      </c>
      <c r="D50" s="267" t="s">
        <v>49</v>
      </c>
      <c r="E50" s="267" t="s">
        <v>50</v>
      </c>
      <c r="F50" s="267" t="s">
        <v>49</v>
      </c>
      <c r="G50" s="267" t="s">
        <v>50</v>
      </c>
      <c r="H50" s="267" t="s">
        <v>49</v>
      </c>
      <c r="I50" s="267" t="s">
        <v>50</v>
      </c>
      <c r="J50" s="267" t="s">
        <v>49</v>
      </c>
      <c r="K50" s="267" t="s">
        <v>50</v>
      </c>
      <c r="L50" s="267" t="s">
        <v>49</v>
      </c>
    </row>
    <row r="51" spans="1:12">
      <c r="A51" s="489" t="s">
        <v>291</v>
      </c>
      <c r="B51" s="259" t="s">
        <v>26</v>
      </c>
      <c r="C51" s="353" t="s">
        <v>342</v>
      </c>
      <c r="D51" s="353" t="s">
        <v>343</v>
      </c>
      <c r="E51" s="353" t="s">
        <v>342</v>
      </c>
      <c r="F51" s="353" t="s">
        <v>343</v>
      </c>
      <c r="G51" s="353" t="s">
        <v>342</v>
      </c>
      <c r="H51" s="353" t="s">
        <v>343</v>
      </c>
      <c r="I51" s="353" t="s">
        <v>342</v>
      </c>
      <c r="J51" s="353" t="s">
        <v>343</v>
      </c>
      <c r="K51" s="353" t="s">
        <v>342</v>
      </c>
      <c r="L51" s="353" t="s">
        <v>343</v>
      </c>
    </row>
    <row r="52" spans="1:12" ht="69" customHeight="1">
      <c r="A52" s="490"/>
      <c r="B52" s="260" t="s">
        <v>37</v>
      </c>
      <c r="C52" s="351" t="s">
        <v>344</v>
      </c>
      <c r="D52" s="351" t="s">
        <v>344</v>
      </c>
      <c r="E52" s="351" t="s">
        <v>344</v>
      </c>
      <c r="F52" s="351" t="s">
        <v>344</v>
      </c>
      <c r="G52" s="351" t="s">
        <v>344</v>
      </c>
      <c r="H52" s="351" t="s">
        <v>344</v>
      </c>
      <c r="I52" s="351" t="s">
        <v>344</v>
      </c>
      <c r="J52" s="351" t="s">
        <v>344</v>
      </c>
      <c r="K52" s="351" t="s">
        <v>344</v>
      </c>
      <c r="L52" s="351" t="s">
        <v>344</v>
      </c>
    </row>
    <row r="53" spans="1:12">
      <c r="A53" s="490"/>
      <c r="B53" s="260" t="s">
        <v>39</v>
      </c>
      <c r="C53" s="182" t="s">
        <v>273</v>
      </c>
      <c r="D53" s="182" t="s">
        <v>273</v>
      </c>
      <c r="E53" s="182" t="s">
        <v>273</v>
      </c>
      <c r="F53" s="182" t="s">
        <v>273</v>
      </c>
      <c r="G53" s="182" t="s">
        <v>273</v>
      </c>
      <c r="H53" s="182" t="s">
        <v>273</v>
      </c>
      <c r="I53" s="182" t="s">
        <v>273</v>
      </c>
      <c r="J53" s="182" t="s">
        <v>273</v>
      </c>
      <c r="K53" s="182" t="s">
        <v>273</v>
      </c>
      <c r="L53" s="182" t="s">
        <v>273</v>
      </c>
    </row>
    <row r="54" spans="1:12">
      <c r="A54" s="490"/>
      <c r="B54" s="261" t="s">
        <v>40</v>
      </c>
      <c r="C54" s="182" t="s">
        <v>98</v>
      </c>
      <c r="D54" s="182" t="s">
        <v>98</v>
      </c>
      <c r="E54" s="182" t="s">
        <v>98</v>
      </c>
      <c r="F54" s="182" t="s">
        <v>98</v>
      </c>
      <c r="G54" s="182" t="s">
        <v>345</v>
      </c>
      <c r="H54" s="182" t="s">
        <v>345</v>
      </c>
      <c r="I54" s="182" t="s">
        <v>345</v>
      </c>
      <c r="J54" s="182" t="s">
        <v>345</v>
      </c>
      <c r="K54" s="182" t="s">
        <v>98</v>
      </c>
      <c r="L54" s="182" t="s">
        <v>98</v>
      </c>
    </row>
    <row r="55" spans="1:12">
      <c r="A55" s="490"/>
      <c r="B55" s="261" t="s">
        <v>47</v>
      </c>
      <c r="C55" s="182" t="s">
        <v>346</v>
      </c>
      <c r="D55" s="182" t="s">
        <v>346</v>
      </c>
      <c r="E55" s="182" t="s">
        <v>346</v>
      </c>
      <c r="F55" s="182" t="s">
        <v>346</v>
      </c>
      <c r="G55" s="182" t="s">
        <v>346</v>
      </c>
      <c r="H55" s="182" t="s">
        <v>346</v>
      </c>
      <c r="I55" s="182" t="s">
        <v>346</v>
      </c>
      <c r="J55" s="182" t="s">
        <v>346</v>
      </c>
      <c r="K55" s="182" t="s">
        <v>346</v>
      </c>
      <c r="L55" s="182" t="s">
        <v>346</v>
      </c>
    </row>
    <row r="56" spans="1:12" s="409" customFormat="1" ht="48" customHeight="1">
      <c r="A56" s="490"/>
      <c r="B56" s="406" t="s">
        <v>313</v>
      </c>
      <c r="C56" s="408">
        <v>1</v>
      </c>
      <c r="D56" s="408">
        <v>1</v>
      </c>
      <c r="E56" s="408" t="s">
        <v>415</v>
      </c>
      <c r="F56" s="408">
        <v>1</v>
      </c>
      <c r="G56" s="408">
        <v>1</v>
      </c>
      <c r="H56" s="408">
        <v>1</v>
      </c>
      <c r="I56" s="408">
        <v>1</v>
      </c>
      <c r="J56" s="408">
        <v>1</v>
      </c>
      <c r="K56" s="408">
        <v>1</v>
      </c>
      <c r="L56" s="408">
        <v>1</v>
      </c>
    </row>
    <row r="57" spans="1:12" s="410" customFormat="1" ht="45.75" thickBot="1">
      <c r="A57" s="491"/>
      <c r="B57" s="411" t="s">
        <v>5</v>
      </c>
      <c r="C57" s="371" t="s">
        <v>347</v>
      </c>
      <c r="D57" s="371" t="s">
        <v>347</v>
      </c>
      <c r="E57" s="371" t="s">
        <v>347</v>
      </c>
      <c r="F57" s="371" t="s">
        <v>347</v>
      </c>
      <c r="G57" s="371" t="s">
        <v>347</v>
      </c>
      <c r="H57" s="371" t="s">
        <v>347</v>
      </c>
      <c r="I57" s="371" t="s">
        <v>347</v>
      </c>
      <c r="J57" s="371" t="s">
        <v>347</v>
      </c>
      <c r="K57" s="371" t="s">
        <v>347</v>
      </c>
      <c r="L57" s="371" t="s">
        <v>347</v>
      </c>
    </row>
    <row r="58" spans="1:12">
      <c r="A58" s="493" t="s">
        <v>292</v>
      </c>
      <c r="B58" s="354" t="s">
        <v>26</v>
      </c>
      <c r="C58" s="355"/>
      <c r="D58" s="355"/>
      <c r="E58" s="358" t="s">
        <v>30</v>
      </c>
      <c r="F58" s="355"/>
      <c r="G58" s="355"/>
      <c r="H58" s="355"/>
      <c r="I58" s="355"/>
      <c r="J58" s="355"/>
      <c r="K58" s="355"/>
      <c r="L58" s="355"/>
    </row>
    <row r="59" spans="1:12" ht="45">
      <c r="A59" s="490"/>
      <c r="B59" s="260" t="s">
        <v>37</v>
      </c>
      <c r="C59" s="182"/>
      <c r="D59" s="182"/>
      <c r="E59" s="352" t="s">
        <v>358</v>
      </c>
      <c r="F59" s="352"/>
      <c r="G59" s="182"/>
      <c r="H59" s="182"/>
      <c r="I59" s="182"/>
      <c r="J59" s="182"/>
      <c r="K59" s="182"/>
      <c r="L59" s="182"/>
    </row>
    <row r="60" spans="1:12">
      <c r="A60" s="490"/>
      <c r="B60" s="260" t="s">
        <v>39</v>
      </c>
      <c r="C60" s="182"/>
      <c r="D60" s="182"/>
      <c r="E60" s="182" t="s">
        <v>155</v>
      </c>
      <c r="F60" s="352"/>
      <c r="G60" s="182"/>
      <c r="H60" s="182"/>
      <c r="I60" s="182"/>
      <c r="J60" s="182"/>
      <c r="K60" s="182"/>
      <c r="L60" s="182"/>
    </row>
    <row r="61" spans="1:12">
      <c r="A61" s="490"/>
      <c r="B61" s="261" t="s">
        <v>40</v>
      </c>
      <c r="C61" s="182"/>
      <c r="D61" s="182"/>
      <c r="E61" s="182" t="s">
        <v>359</v>
      </c>
      <c r="F61" s="182"/>
      <c r="G61" s="182"/>
      <c r="H61" s="182"/>
      <c r="I61" s="182"/>
      <c r="J61" s="182"/>
      <c r="K61" s="182"/>
      <c r="L61" s="182"/>
    </row>
    <row r="62" spans="1:12">
      <c r="A62" s="490"/>
      <c r="B62" s="261" t="s">
        <v>47</v>
      </c>
      <c r="C62" s="182"/>
      <c r="D62" s="182"/>
      <c r="E62" s="182" t="s">
        <v>360</v>
      </c>
      <c r="F62" s="182"/>
      <c r="G62" s="182"/>
      <c r="H62" s="182"/>
      <c r="I62" s="182"/>
      <c r="J62" s="182"/>
      <c r="K62" s="182"/>
      <c r="L62" s="182"/>
    </row>
    <row r="63" spans="1:12" s="405" customFormat="1" ht="56.25" customHeight="1">
      <c r="A63" s="490"/>
      <c r="B63" s="406" t="s">
        <v>313</v>
      </c>
      <c r="C63" s="404"/>
      <c r="D63" s="404"/>
      <c r="E63" s="415" t="s">
        <v>416</v>
      </c>
      <c r="F63" s="404"/>
      <c r="G63" s="404"/>
      <c r="H63" s="404"/>
      <c r="I63" s="404"/>
      <c r="J63" s="404"/>
      <c r="K63" s="404"/>
      <c r="L63" s="404"/>
    </row>
    <row r="64" spans="1:12" ht="16.5" thickBot="1">
      <c r="A64" s="491"/>
      <c r="B64" s="356" t="s">
        <v>5</v>
      </c>
      <c r="C64" s="357"/>
      <c r="D64" s="357"/>
      <c r="E64" s="357" t="s">
        <v>361</v>
      </c>
      <c r="F64" s="357"/>
      <c r="G64" s="357"/>
      <c r="H64" s="357"/>
      <c r="I64" s="357"/>
      <c r="J64" s="357"/>
      <c r="K64" s="357"/>
      <c r="L64" s="357"/>
    </row>
    <row r="65" spans="1:12">
      <c r="A65" s="493" t="s">
        <v>292</v>
      </c>
      <c r="B65" s="354" t="s">
        <v>26</v>
      </c>
      <c r="C65" s="355"/>
      <c r="D65" s="355"/>
      <c r="E65" s="358" t="s">
        <v>30</v>
      </c>
      <c r="F65" s="358" t="s">
        <v>44</v>
      </c>
      <c r="G65" s="355"/>
      <c r="H65" s="355"/>
      <c r="I65" s="355"/>
      <c r="J65" s="355"/>
      <c r="K65" s="355"/>
      <c r="L65" s="355"/>
    </row>
    <row r="66" spans="1:12" ht="60">
      <c r="A66" s="490"/>
      <c r="B66" s="260" t="s">
        <v>37</v>
      </c>
      <c r="C66" s="182"/>
      <c r="D66" s="182"/>
      <c r="E66" s="352" t="s">
        <v>376</v>
      </c>
      <c r="F66" s="352" t="s">
        <v>376</v>
      </c>
      <c r="G66" s="182"/>
      <c r="H66" s="182"/>
      <c r="I66" s="182"/>
      <c r="J66" s="182"/>
      <c r="K66" s="182"/>
      <c r="L66" s="182"/>
    </row>
    <row r="67" spans="1:12" ht="30">
      <c r="A67" s="490"/>
      <c r="B67" s="260" t="s">
        <v>39</v>
      </c>
      <c r="C67" s="182"/>
      <c r="D67" s="182"/>
      <c r="E67" s="352" t="s">
        <v>372</v>
      </c>
      <c r="F67" s="352" t="s">
        <v>372</v>
      </c>
      <c r="G67" s="182"/>
      <c r="H67" s="182"/>
      <c r="I67" s="182"/>
      <c r="J67" s="182"/>
      <c r="K67" s="182"/>
      <c r="L67" s="182"/>
    </row>
    <row r="68" spans="1:12">
      <c r="A68" s="490"/>
      <c r="B68" s="261" t="s">
        <v>40</v>
      </c>
      <c r="C68" s="182"/>
      <c r="D68" s="182"/>
      <c r="E68" s="182" t="s">
        <v>373</v>
      </c>
      <c r="F68" s="182" t="s">
        <v>373</v>
      </c>
      <c r="G68" s="182"/>
      <c r="H68" s="182"/>
      <c r="I68" s="182"/>
      <c r="J68" s="182"/>
      <c r="K68" s="182"/>
      <c r="L68" s="182"/>
    </row>
    <row r="69" spans="1:12">
      <c r="A69" s="490"/>
      <c r="B69" s="261" t="s">
        <v>47</v>
      </c>
      <c r="C69" s="182"/>
      <c r="D69" s="182"/>
      <c r="E69" s="182" t="s">
        <v>374</v>
      </c>
      <c r="F69" s="182" t="s">
        <v>374</v>
      </c>
      <c r="G69" s="182"/>
      <c r="H69" s="182"/>
      <c r="I69" s="182"/>
      <c r="J69" s="182"/>
      <c r="K69" s="182"/>
      <c r="L69" s="182"/>
    </row>
    <row r="70" spans="1:12" s="405" customFormat="1" ht="56.25" customHeight="1">
      <c r="A70" s="490"/>
      <c r="B70" s="406" t="s">
        <v>313</v>
      </c>
      <c r="C70" s="404"/>
      <c r="D70" s="404"/>
      <c r="E70" s="404">
        <v>1</v>
      </c>
      <c r="F70" s="404">
        <v>1</v>
      </c>
      <c r="G70" s="404"/>
      <c r="H70" s="404"/>
      <c r="I70" s="404"/>
      <c r="J70" s="404"/>
      <c r="K70" s="404"/>
      <c r="L70" s="404"/>
    </row>
    <row r="71" spans="1:12">
      <c r="A71" s="494"/>
      <c r="B71" s="260" t="s">
        <v>5</v>
      </c>
      <c r="C71" s="182"/>
      <c r="D71" s="182"/>
      <c r="E71" s="182" t="s">
        <v>375</v>
      </c>
      <c r="F71" s="182" t="s">
        <v>375</v>
      </c>
      <c r="G71" s="182"/>
      <c r="H71" s="182"/>
      <c r="I71" s="182"/>
      <c r="J71" s="182"/>
      <c r="K71" s="182"/>
      <c r="L71" s="182"/>
    </row>
    <row r="74" spans="1:12">
      <c r="A74" s="485" t="s">
        <v>310</v>
      </c>
      <c r="B74" s="258" t="s">
        <v>268</v>
      </c>
      <c r="C74" s="483">
        <v>46230</v>
      </c>
      <c r="D74" s="484"/>
      <c r="E74" s="483">
        <v>46231</v>
      </c>
      <c r="F74" s="484"/>
      <c r="G74" s="483">
        <v>46232</v>
      </c>
      <c r="H74" s="484"/>
      <c r="I74" s="483">
        <v>46233</v>
      </c>
      <c r="J74" s="484"/>
      <c r="K74" s="483">
        <v>46234</v>
      </c>
      <c r="L74" s="484"/>
    </row>
    <row r="75" spans="1:12">
      <c r="A75" s="486"/>
      <c r="B75" s="258" t="s">
        <v>269</v>
      </c>
      <c r="C75" s="267" t="s">
        <v>50</v>
      </c>
      <c r="D75" s="267" t="s">
        <v>49</v>
      </c>
      <c r="E75" s="267" t="s">
        <v>50</v>
      </c>
      <c r="F75" s="267" t="s">
        <v>49</v>
      </c>
      <c r="G75" s="267" t="s">
        <v>50</v>
      </c>
      <c r="H75" s="267" t="s">
        <v>49</v>
      </c>
      <c r="I75" s="267" t="s">
        <v>50</v>
      </c>
      <c r="J75" s="267" t="s">
        <v>49</v>
      </c>
      <c r="K75" s="267" t="s">
        <v>50</v>
      </c>
      <c r="L75" s="267" t="s">
        <v>49</v>
      </c>
    </row>
    <row r="76" spans="1:12">
      <c r="A76" s="489" t="s">
        <v>291</v>
      </c>
      <c r="B76" s="259" t="s">
        <v>26</v>
      </c>
      <c r="C76" s="353" t="s">
        <v>342</v>
      </c>
      <c r="D76" s="353" t="s">
        <v>343</v>
      </c>
      <c r="E76" s="353" t="s">
        <v>342</v>
      </c>
      <c r="F76" s="353" t="s">
        <v>343</v>
      </c>
      <c r="G76" s="353" t="s">
        <v>342</v>
      </c>
      <c r="H76" s="353" t="s">
        <v>343</v>
      </c>
      <c r="I76" s="353" t="s">
        <v>342</v>
      </c>
      <c r="J76" s="353" t="s">
        <v>343</v>
      </c>
      <c r="K76" s="353" t="s">
        <v>342</v>
      </c>
      <c r="L76" s="353" t="s">
        <v>343</v>
      </c>
    </row>
    <row r="77" spans="1:12" ht="75">
      <c r="A77" s="490"/>
      <c r="B77" s="260" t="s">
        <v>37</v>
      </c>
      <c r="C77" s="351" t="s">
        <v>344</v>
      </c>
      <c r="D77" s="351" t="s">
        <v>344</v>
      </c>
      <c r="E77" s="351" t="s">
        <v>344</v>
      </c>
      <c r="F77" s="351" t="s">
        <v>344</v>
      </c>
      <c r="G77" s="351" t="s">
        <v>344</v>
      </c>
      <c r="H77" s="351" t="s">
        <v>344</v>
      </c>
      <c r="I77" s="351" t="s">
        <v>344</v>
      </c>
      <c r="J77" s="351" t="s">
        <v>344</v>
      </c>
      <c r="K77" s="351" t="s">
        <v>344</v>
      </c>
      <c r="L77" s="351" t="s">
        <v>344</v>
      </c>
    </row>
    <row r="78" spans="1:12">
      <c r="A78" s="490"/>
      <c r="B78" s="260" t="s">
        <v>39</v>
      </c>
      <c r="C78" s="182" t="s">
        <v>273</v>
      </c>
      <c r="D78" s="182" t="s">
        <v>273</v>
      </c>
      <c r="E78" s="182" t="s">
        <v>273</v>
      </c>
      <c r="F78" s="182" t="s">
        <v>273</v>
      </c>
      <c r="G78" s="182" t="s">
        <v>273</v>
      </c>
      <c r="H78" s="182" t="s">
        <v>273</v>
      </c>
      <c r="I78" s="182" t="s">
        <v>273</v>
      </c>
      <c r="J78" s="182" t="s">
        <v>273</v>
      </c>
      <c r="K78" s="182" t="s">
        <v>273</v>
      </c>
      <c r="L78" s="182" t="s">
        <v>273</v>
      </c>
    </row>
    <row r="79" spans="1:12">
      <c r="A79" s="490"/>
      <c r="B79" s="261" t="s">
        <v>40</v>
      </c>
      <c r="C79" s="182" t="s">
        <v>98</v>
      </c>
      <c r="D79" s="182" t="s">
        <v>98</v>
      </c>
      <c r="E79" s="182" t="s">
        <v>98</v>
      </c>
      <c r="F79" s="182" t="s">
        <v>98</v>
      </c>
      <c r="G79" s="182" t="s">
        <v>345</v>
      </c>
      <c r="H79" s="182" t="s">
        <v>345</v>
      </c>
      <c r="I79" s="182" t="s">
        <v>345</v>
      </c>
      <c r="J79" s="182" t="s">
        <v>345</v>
      </c>
      <c r="K79" s="182" t="s">
        <v>98</v>
      </c>
      <c r="L79" s="182" t="s">
        <v>98</v>
      </c>
    </row>
    <row r="80" spans="1:12">
      <c r="A80" s="490"/>
      <c r="B80" s="261" t="s">
        <v>47</v>
      </c>
      <c r="C80" s="182" t="s">
        <v>346</v>
      </c>
      <c r="D80" s="182" t="s">
        <v>346</v>
      </c>
      <c r="E80" s="182" t="s">
        <v>346</v>
      </c>
      <c r="F80" s="182" t="s">
        <v>346</v>
      </c>
      <c r="G80" s="182" t="s">
        <v>346</v>
      </c>
      <c r="H80" s="182" t="s">
        <v>346</v>
      </c>
      <c r="I80" s="182" t="s">
        <v>346</v>
      </c>
      <c r="J80" s="182" t="s">
        <v>346</v>
      </c>
      <c r="K80" s="182" t="s">
        <v>346</v>
      </c>
      <c r="L80" s="182" t="s">
        <v>346</v>
      </c>
    </row>
    <row r="81" spans="1:12" s="405" customFormat="1" ht="47.25">
      <c r="A81" s="490"/>
      <c r="B81" s="406" t="s">
        <v>313</v>
      </c>
      <c r="C81" s="404">
        <v>1</v>
      </c>
      <c r="D81" s="404">
        <v>1</v>
      </c>
      <c r="E81" s="404">
        <v>1</v>
      </c>
      <c r="F81" s="404">
        <v>1</v>
      </c>
      <c r="G81" s="404">
        <v>1</v>
      </c>
      <c r="H81" s="404">
        <v>1</v>
      </c>
      <c r="I81" s="404">
        <v>1</v>
      </c>
      <c r="J81" s="404">
        <v>1</v>
      </c>
      <c r="K81" s="404">
        <v>1</v>
      </c>
      <c r="L81" s="404">
        <v>1</v>
      </c>
    </row>
    <row r="82" spans="1:12" s="410" customFormat="1" ht="45">
      <c r="A82" s="494"/>
      <c r="B82" s="327" t="s">
        <v>5</v>
      </c>
      <c r="C82" s="352" t="s">
        <v>347</v>
      </c>
      <c r="D82" s="352" t="s">
        <v>347</v>
      </c>
      <c r="E82" s="352" t="s">
        <v>347</v>
      </c>
      <c r="F82" s="352" t="s">
        <v>347</v>
      </c>
      <c r="G82" s="352" t="s">
        <v>347</v>
      </c>
      <c r="H82" s="352" t="s">
        <v>347</v>
      </c>
      <c r="I82" s="352" t="s">
        <v>347</v>
      </c>
      <c r="J82" s="352" t="s">
        <v>347</v>
      </c>
      <c r="K82" s="352" t="s">
        <v>347</v>
      </c>
      <c r="L82" s="352" t="s">
        <v>347</v>
      </c>
    </row>
    <row r="83" spans="1:12">
      <c r="A83" s="489" t="s">
        <v>292</v>
      </c>
      <c r="B83" s="259" t="s">
        <v>26</v>
      </c>
      <c r="C83" s="182"/>
      <c r="D83" s="182"/>
      <c r="E83" s="182"/>
      <c r="F83" s="182"/>
      <c r="G83" s="182" t="s">
        <v>436</v>
      </c>
      <c r="H83" s="182"/>
      <c r="I83" s="182"/>
      <c r="J83" s="182"/>
      <c r="K83" s="182"/>
      <c r="L83" s="182"/>
    </row>
    <row r="84" spans="1:12">
      <c r="A84" s="490"/>
      <c r="B84" s="260" t="s">
        <v>37</v>
      </c>
      <c r="C84" s="182"/>
      <c r="D84" s="182"/>
      <c r="E84" s="182"/>
      <c r="F84" s="182"/>
      <c r="G84" s="182" t="s">
        <v>437</v>
      </c>
      <c r="H84" s="182"/>
      <c r="I84" s="182"/>
      <c r="J84" s="182"/>
      <c r="K84" s="182"/>
      <c r="L84" s="182"/>
    </row>
    <row r="85" spans="1:12">
      <c r="A85" s="490"/>
      <c r="B85" s="260" t="s">
        <v>39</v>
      </c>
      <c r="C85" s="182"/>
      <c r="D85" s="182"/>
      <c r="E85" s="182"/>
      <c r="F85" s="182"/>
      <c r="G85" s="182" t="s">
        <v>438</v>
      </c>
      <c r="H85" s="182"/>
      <c r="I85" s="182"/>
      <c r="J85" s="182"/>
      <c r="K85" s="182"/>
      <c r="L85" s="182"/>
    </row>
    <row r="86" spans="1:12">
      <c r="A86" s="490"/>
      <c r="B86" s="261" t="s">
        <v>40</v>
      </c>
      <c r="C86" s="182"/>
      <c r="D86" s="182"/>
      <c r="E86" s="182"/>
      <c r="F86" s="182"/>
      <c r="G86" s="182" t="s">
        <v>439</v>
      </c>
      <c r="H86" s="182"/>
      <c r="I86" s="182"/>
      <c r="J86" s="182"/>
      <c r="K86" s="182"/>
      <c r="L86" s="182"/>
    </row>
    <row r="87" spans="1:12">
      <c r="A87" s="490"/>
      <c r="B87" s="261" t="s">
        <v>47</v>
      </c>
      <c r="C87" s="182"/>
      <c r="D87" s="182"/>
      <c r="E87" s="182"/>
      <c r="F87" s="182"/>
      <c r="G87" s="182" t="s">
        <v>440</v>
      </c>
      <c r="H87" s="182"/>
      <c r="I87" s="182"/>
      <c r="J87" s="182"/>
      <c r="K87" s="182"/>
      <c r="L87" s="182"/>
    </row>
    <row r="88" spans="1:12" ht="47.25">
      <c r="A88" s="490"/>
      <c r="B88" s="327" t="s">
        <v>313</v>
      </c>
      <c r="C88" s="182"/>
      <c r="D88" s="182"/>
      <c r="E88" s="182"/>
      <c r="F88" s="182"/>
      <c r="G88" s="182" t="s">
        <v>442</v>
      </c>
      <c r="H88" s="182"/>
      <c r="I88" s="182"/>
      <c r="J88" s="182"/>
      <c r="K88" s="182"/>
      <c r="L88" s="182"/>
    </row>
    <row r="89" spans="1:12">
      <c r="A89" s="494"/>
      <c r="B89" s="260" t="s">
        <v>5</v>
      </c>
      <c r="C89" s="182"/>
      <c r="D89" s="182"/>
      <c r="E89" s="182"/>
      <c r="F89" s="182"/>
      <c r="G89" s="182" t="s">
        <v>441</v>
      </c>
      <c r="H89" s="182"/>
      <c r="I89" s="182"/>
      <c r="J89" s="182"/>
      <c r="K89" s="182"/>
      <c r="L89" s="182"/>
    </row>
    <row r="93" spans="1:12">
      <c r="A93" s="485" t="s">
        <v>312</v>
      </c>
      <c r="B93" s="258" t="s">
        <v>268</v>
      </c>
      <c r="C93" s="483">
        <v>46237</v>
      </c>
      <c r="D93" s="484"/>
      <c r="E93" s="483">
        <v>46238</v>
      </c>
      <c r="F93" s="484"/>
      <c r="G93" s="483">
        <v>46239</v>
      </c>
      <c r="H93" s="484"/>
      <c r="I93" s="483">
        <v>46240</v>
      </c>
      <c r="J93" s="484"/>
      <c r="K93" s="483">
        <v>46241</v>
      </c>
      <c r="L93" s="484"/>
    </row>
    <row r="94" spans="1:12">
      <c r="A94" s="486"/>
      <c r="B94" s="258" t="s">
        <v>269</v>
      </c>
      <c r="C94" s="267" t="s">
        <v>50</v>
      </c>
      <c r="D94" s="267" t="s">
        <v>49</v>
      </c>
      <c r="E94" s="267" t="s">
        <v>50</v>
      </c>
      <c r="F94" s="267" t="s">
        <v>49</v>
      </c>
      <c r="G94" s="267" t="s">
        <v>50</v>
      </c>
      <c r="H94" s="267" t="s">
        <v>49</v>
      </c>
      <c r="I94" s="267" t="s">
        <v>50</v>
      </c>
      <c r="J94" s="267" t="s">
        <v>49</v>
      </c>
      <c r="K94" s="267" t="s">
        <v>50</v>
      </c>
      <c r="L94" s="267" t="s">
        <v>49</v>
      </c>
    </row>
    <row r="95" spans="1:12">
      <c r="A95" s="489" t="s">
        <v>291</v>
      </c>
      <c r="B95" s="259" t="s">
        <v>26</v>
      </c>
      <c r="C95" s="353" t="s">
        <v>342</v>
      </c>
      <c r="D95" s="353" t="s">
        <v>343</v>
      </c>
      <c r="E95" s="353" t="s">
        <v>342</v>
      </c>
      <c r="F95" s="353" t="s">
        <v>343</v>
      </c>
      <c r="G95" s="353" t="s">
        <v>342</v>
      </c>
      <c r="H95" s="353" t="s">
        <v>343</v>
      </c>
      <c r="I95" s="353" t="s">
        <v>342</v>
      </c>
      <c r="J95" s="353" t="s">
        <v>343</v>
      </c>
      <c r="K95" s="353" t="s">
        <v>342</v>
      </c>
      <c r="L95" s="353" t="s">
        <v>343</v>
      </c>
    </row>
    <row r="96" spans="1:12" ht="75">
      <c r="A96" s="490"/>
      <c r="B96" s="260" t="s">
        <v>37</v>
      </c>
      <c r="C96" s="351" t="s">
        <v>344</v>
      </c>
      <c r="D96" s="351" t="s">
        <v>344</v>
      </c>
      <c r="E96" s="351" t="s">
        <v>344</v>
      </c>
      <c r="F96" s="351" t="s">
        <v>344</v>
      </c>
      <c r="G96" s="351" t="s">
        <v>344</v>
      </c>
      <c r="H96" s="351" t="s">
        <v>344</v>
      </c>
      <c r="I96" s="351" t="s">
        <v>344</v>
      </c>
      <c r="J96" s="351" t="s">
        <v>344</v>
      </c>
      <c r="K96" s="351" t="s">
        <v>344</v>
      </c>
      <c r="L96" s="351" t="s">
        <v>344</v>
      </c>
    </row>
    <row r="97" spans="1:12">
      <c r="A97" s="490"/>
      <c r="B97" s="260" t="s">
        <v>39</v>
      </c>
      <c r="C97" s="182" t="s">
        <v>273</v>
      </c>
      <c r="D97" s="182" t="s">
        <v>273</v>
      </c>
      <c r="E97" s="182" t="s">
        <v>273</v>
      </c>
      <c r="F97" s="182" t="s">
        <v>273</v>
      </c>
      <c r="G97" s="182" t="s">
        <v>273</v>
      </c>
      <c r="H97" s="182" t="s">
        <v>273</v>
      </c>
      <c r="I97" s="182" t="s">
        <v>273</v>
      </c>
      <c r="J97" s="182" t="s">
        <v>273</v>
      </c>
      <c r="K97" s="182" t="s">
        <v>273</v>
      </c>
      <c r="L97" s="182" t="s">
        <v>273</v>
      </c>
    </row>
    <row r="98" spans="1:12">
      <c r="A98" s="490"/>
      <c r="B98" s="261" t="s">
        <v>40</v>
      </c>
      <c r="C98" s="182" t="s">
        <v>98</v>
      </c>
      <c r="D98" s="182" t="s">
        <v>98</v>
      </c>
      <c r="E98" s="182" t="s">
        <v>98</v>
      </c>
      <c r="F98" s="182" t="s">
        <v>98</v>
      </c>
      <c r="G98" s="182" t="s">
        <v>345</v>
      </c>
      <c r="H98" s="182" t="s">
        <v>345</v>
      </c>
      <c r="I98" s="182" t="s">
        <v>345</v>
      </c>
      <c r="J98" s="182" t="s">
        <v>345</v>
      </c>
      <c r="K98" s="182" t="s">
        <v>98</v>
      </c>
      <c r="L98" s="182" t="s">
        <v>98</v>
      </c>
    </row>
    <row r="99" spans="1:12">
      <c r="A99" s="490"/>
      <c r="B99" s="261" t="s">
        <v>47</v>
      </c>
      <c r="C99" s="182" t="s">
        <v>346</v>
      </c>
      <c r="D99" s="182" t="s">
        <v>346</v>
      </c>
      <c r="E99" s="182" t="s">
        <v>346</v>
      </c>
      <c r="F99" s="182" t="s">
        <v>346</v>
      </c>
      <c r="G99" s="182" t="s">
        <v>346</v>
      </c>
      <c r="H99" s="182" t="s">
        <v>346</v>
      </c>
      <c r="I99" s="182" t="s">
        <v>346</v>
      </c>
      <c r="J99" s="182" t="s">
        <v>346</v>
      </c>
      <c r="K99" s="182" t="s">
        <v>346</v>
      </c>
      <c r="L99" s="182" t="s">
        <v>346</v>
      </c>
    </row>
    <row r="100" spans="1:12" s="405" customFormat="1" ht="78.75" customHeight="1">
      <c r="A100" s="490"/>
      <c r="B100" s="406" t="s">
        <v>313</v>
      </c>
      <c r="C100" s="404">
        <v>1</v>
      </c>
      <c r="D100" s="404">
        <v>1</v>
      </c>
      <c r="E100" s="404">
        <v>1</v>
      </c>
      <c r="F100" s="404">
        <v>1</v>
      </c>
      <c r="G100" s="404">
        <v>1</v>
      </c>
      <c r="H100" s="404">
        <v>1</v>
      </c>
      <c r="I100" s="404">
        <v>1</v>
      </c>
      <c r="J100" s="404">
        <v>1</v>
      </c>
      <c r="K100" s="404">
        <v>1</v>
      </c>
      <c r="L100" s="404">
        <v>1</v>
      </c>
    </row>
    <row r="101" spans="1:12" s="410" customFormat="1" ht="45">
      <c r="A101" s="494"/>
      <c r="B101" s="327" t="s">
        <v>5</v>
      </c>
      <c r="C101" s="352" t="s">
        <v>347</v>
      </c>
      <c r="D101" s="352" t="s">
        <v>347</v>
      </c>
      <c r="E101" s="352" t="s">
        <v>347</v>
      </c>
      <c r="F101" s="352" t="s">
        <v>347</v>
      </c>
      <c r="G101" s="352" t="s">
        <v>347</v>
      </c>
      <c r="H101" s="352" t="s">
        <v>347</v>
      </c>
      <c r="I101" s="352" t="s">
        <v>347</v>
      </c>
      <c r="J101" s="352" t="s">
        <v>347</v>
      </c>
      <c r="K101" s="352" t="s">
        <v>347</v>
      </c>
      <c r="L101" s="352" t="s">
        <v>347</v>
      </c>
    </row>
    <row r="102" spans="1:12">
      <c r="A102" s="489" t="s">
        <v>292</v>
      </c>
      <c r="B102" s="259" t="s">
        <v>26</v>
      </c>
      <c r="C102" s="182"/>
      <c r="D102" s="182"/>
      <c r="E102" s="353" t="s">
        <v>30</v>
      </c>
      <c r="F102" s="182"/>
      <c r="G102" s="353" t="s">
        <v>30</v>
      </c>
      <c r="H102" s="182"/>
      <c r="I102" s="353" t="s">
        <v>274</v>
      </c>
      <c r="J102" s="182"/>
      <c r="K102" s="182"/>
      <c r="L102" s="182"/>
    </row>
    <row r="103" spans="1:12">
      <c r="A103" s="490"/>
      <c r="B103" s="260" t="s">
        <v>37</v>
      </c>
      <c r="C103" s="182"/>
      <c r="D103" s="182"/>
      <c r="E103" s="182" t="s">
        <v>378</v>
      </c>
      <c r="F103" s="182"/>
      <c r="G103" s="182" t="s">
        <v>378</v>
      </c>
      <c r="I103" s="182" t="s">
        <v>369</v>
      </c>
      <c r="J103" s="182"/>
      <c r="K103" s="182"/>
      <c r="L103" s="182"/>
    </row>
    <row r="104" spans="1:12">
      <c r="A104" s="490"/>
      <c r="B104" s="260" t="s">
        <v>39</v>
      </c>
      <c r="C104" s="182"/>
      <c r="D104" s="182"/>
      <c r="E104" s="182" t="s">
        <v>58</v>
      </c>
      <c r="F104" s="182"/>
      <c r="G104" s="182" t="s">
        <v>58</v>
      </c>
      <c r="H104" s="182"/>
      <c r="I104" s="182" t="s">
        <v>155</v>
      </c>
      <c r="J104" s="182"/>
      <c r="K104" s="182"/>
      <c r="L104" s="182"/>
    </row>
    <row r="105" spans="1:12">
      <c r="A105" s="490"/>
      <c r="B105" s="261" t="s">
        <v>40</v>
      </c>
      <c r="C105" s="182"/>
      <c r="D105" s="182"/>
      <c r="E105" s="182" t="s">
        <v>385</v>
      </c>
      <c r="F105" s="182"/>
      <c r="G105" s="182" t="s">
        <v>385</v>
      </c>
      <c r="H105" s="182"/>
      <c r="I105" s="182" t="s">
        <v>365</v>
      </c>
      <c r="J105" s="182"/>
      <c r="K105" s="182"/>
      <c r="L105" s="182"/>
    </row>
    <row r="106" spans="1:12">
      <c r="A106" s="490"/>
      <c r="B106" s="261" t="s">
        <v>47</v>
      </c>
      <c r="C106" s="182"/>
      <c r="D106" s="182"/>
      <c r="E106" s="370"/>
      <c r="F106" s="182"/>
      <c r="G106" s="370"/>
      <c r="H106" s="182"/>
      <c r="I106" s="182" t="s">
        <v>360</v>
      </c>
      <c r="J106" s="182"/>
      <c r="K106" s="182"/>
      <c r="L106" s="182"/>
    </row>
    <row r="107" spans="1:12" s="405" customFormat="1" ht="57.75" customHeight="1">
      <c r="A107" s="490"/>
      <c r="B107" s="406" t="s">
        <v>313</v>
      </c>
      <c r="C107" s="404"/>
      <c r="D107" s="404"/>
      <c r="E107" s="404" t="s">
        <v>412</v>
      </c>
      <c r="F107" s="404"/>
      <c r="G107" s="404">
        <v>1</v>
      </c>
      <c r="H107" s="404"/>
      <c r="I107" s="404" t="s">
        <v>448</v>
      </c>
      <c r="J107" s="404"/>
      <c r="K107" s="404"/>
      <c r="L107" s="404"/>
    </row>
    <row r="108" spans="1:12">
      <c r="A108" s="494"/>
      <c r="B108" s="260" t="s">
        <v>5</v>
      </c>
      <c r="C108" s="182"/>
      <c r="D108" s="182"/>
      <c r="E108" s="182" t="s">
        <v>287</v>
      </c>
      <c r="F108" s="182"/>
      <c r="G108" s="182" t="s">
        <v>287</v>
      </c>
      <c r="H108" s="182"/>
      <c r="I108" s="182" t="s">
        <v>370</v>
      </c>
      <c r="J108" s="182"/>
      <c r="K108" s="182"/>
      <c r="L108" s="182"/>
    </row>
    <row r="112" spans="1:12">
      <c r="A112" s="485" t="s">
        <v>312</v>
      </c>
      <c r="B112" s="258" t="s">
        <v>268</v>
      </c>
      <c r="C112" s="483">
        <v>46244</v>
      </c>
      <c r="D112" s="484"/>
      <c r="E112" s="483">
        <v>46245</v>
      </c>
      <c r="F112" s="484"/>
      <c r="G112" s="483">
        <v>46246</v>
      </c>
      <c r="H112" s="484"/>
      <c r="I112" s="483">
        <v>46247</v>
      </c>
      <c r="J112" s="484"/>
      <c r="K112" s="483">
        <v>46248</v>
      </c>
      <c r="L112" s="484"/>
    </row>
    <row r="113" spans="1:12">
      <c r="A113" s="486"/>
      <c r="B113" s="258" t="s">
        <v>269</v>
      </c>
      <c r="C113" s="267" t="s">
        <v>50</v>
      </c>
      <c r="D113" s="267" t="s">
        <v>49</v>
      </c>
      <c r="E113" s="267" t="s">
        <v>50</v>
      </c>
      <c r="F113" s="267" t="s">
        <v>49</v>
      </c>
      <c r="G113" s="267" t="s">
        <v>50</v>
      </c>
      <c r="H113" s="267" t="s">
        <v>49</v>
      </c>
      <c r="I113" s="267" t="s">
        <v>50</v>
      </c>
      <c r="J113" s="267" t="s">
        <v>49</v>
      </c>
      <c r="K113" s="267" t="s">
        <v>50</v>
      </c>
      <c r="L113" s="267" t="s">
        <v>49</v>
      </c>
    </row>
    <row r="114" spans="1:12">
      <c r="A114" s="489" t="s">
        <v>291</v>
      </c>
      <c r="B114" s="259" t="s">
        <v>26</v>
      </c>
      <c r="C114" s="353" t="s">
        <v>342</v>
      </c>
      <c r="D114" s="353" t="s">
        <v>343</v>
      </c>
      <c r="E114" s="353" t="s">
        <v>342</v>
      </c>
      <c r="F114" s="353" t="s">
        <v>343</v>
      </c>
      <c r="G114" s="353" t="s">
        <v>342</v>
      </c>
      <c r="H114" s="353" t="s">
        <v>343</v>
      </c>
      <c r="I114" s="353" t="s">
        <v>342</v>
      </c>
      <c r="J114" s="353" t="s">
        <v>343</v>
      </c>
      <c r="K114" s="353" t="s">
        <v>342</v>
      </c>
      <c r="L114" s="353" t="s">
        <v>343</v>
      </c>
    </row>
    <row r="115" spans="1:12" ht="75">
      <c r="A115" s="490"/>
      <c r="B115" s="260" t="s">
        <v>37</v>
      </c>
      <c r="C115" s="351" t="s">
        <v>344</v>
      </c>
      <c r="D115" s="351" t="s">
        <v>344</v>
      </c>
      <c r="E115" s="351" t="s">
        <v>344</v>
      </c>
      <c r="F115" s="351" t="s">
        <v>344</v>
      </c>
      <c r="G115" s="351" t="s">
        <v>344</v>
      </c>
      <c r="H115" s="351" t="s">
        <v>344</v>
      </c>
      <c r="I115" s="351" t="s">
        <v>344</v>
      </c>
      <c r="J115" s="351" t="s">
        <v>344</v>
      </c>
      <c r="K115" s="351" t="s">
        <v>344</v>
      </c>
      <c r="L115" s="351" t="s">
        <v>344</v>
      </c>
    </row>
    <row r="116" spans="1:12">
      <c r="A116" s="490"/>
      <c r="B116" s="260" t="s">
        <v>39</v>
      </c>
      <c r="C116" s="182" t="s">
        <v>273</v>
      </c>
      <c r="D116" s="182" t="s">
        <v>273</v>
      </c>
      <c r="E116" s="182" t="s">
        <v>273</v>
      </c>
      <c r="F116" s="182" t="s">
        <v>273</v>
      </c>
      <c r="G116" s="182" t="s">
        <v>273</v>
      </c>
      <c r="H116" s="182" t="s">
        <v>273</v>
      </c>
      <c r="I116" s="182" t="s">
        <v>273</v>
      </c>
      <c r="J116" s="182" t="s">
        <v>273</v>
      </c>
      <c r="K116" s="182" t="s">
        <v>273</v>
      </c>
      <c r="L116" s="182" t="s">
        <v>273</v>
      </c>
    </row>
    <row r="117" spans="1:12">
      <c r="A117" s="490"/>
      <c r="B117" s="261" t="s">
        <v>40</v>
      </c>
      <c r="C117" s="182" t="s">
        <v>98</v>
      </c>
      <c r="D117" s="182" t="s">
        <v>98</v>
      </c>
      <c r="E117" s="182" t="s">
        <v>98</v>
      </c>
      <c r="F117" s="182" t="s">
        <v>98</v>
      </c>
      <c r="G117" s="182" t="s">
        <v>98</v>
      </c>
      <c r="H117" s="182" t="s">
        <v>98</v>
      </c>
      <c r="I117" s="182" t="s">
        <v>95</v>
      </c>
      <c r="J117" s="182" t="s">
        <v>95</v>
      </c>
      <c r="K117" s="182" t="s">
        <v>345</v>
      </c>
      <c r="L117" s="182" t="s">
        <v>345</v>
      </c>
    </row>
    <row r="118" spans="1:12">
      <c r="A118" s="490"/>
      <c r="B118" s="261" t="s">
        <v>47</v>
      </c>
      <c r="C118" s="182" t="s">
        <v>346</v>
      </c>
      <c r="D118" s="182" t="s">
        <v>346</v>
      </c>
      <c r="E118" s="182" t="s">
        <v>346</v>
      </c>
      <c r="F118" s="182" t="s">
        <v>346</v>
      </c>
      <c r="G118" s="182" t="s">
        <v>346</v>
      </c>
      <c r="H118" s="182" t="s">
        <v>346</v>
      </c>
      <c r="I118" s="182" t="s">
        <v>346</v>
      </c>
      <c r="J118" s="182" t="s">
        <v>346</v>
      </c>
      <c r="K118" s="182" t="s">
        <v>346</v>
      </c>
      <c r="L118" s="182" t="s">
        <v>346</v>
      </c>
    </row>
    <row r="119" spans="1:12" s="405" customFormat="1" ht="48.75" customHeight="1">
      <c r="A119" s="490"/>
      <c r="B119" s="406" t="s">
        <v>313</v>
      </c>
      <c r="C119" s="404">
        <v>1</v>
      </c>
      <c r="D119" s="404" t="s">
        <v>413</v>
      </c>
      <c r="E119" s="404" t="s">
        <v>447</v>
      </c>
      <c r="F119" s="404">
        <v>1</v>
      </c>
      <c r="G119" s="404">
        <v>1</v>
      </c>
      <c r="H119" s="404">
        <v>1</v>
      </c>
      <c r="I119" s="404">
        <v>1</v>
      </c>
      <c r="J119" s="404">
        <v>1</v>
      </c>
      <c r="K119" s="404">
        <v>1</v>
      </c>
      <c r="L119" s="404">
        <v>1</v>
      </c>
    </row>
    <row r="120" spans="1:12" s="410" customFormat="1" ht="45">
      <c r="A120" s="494"/>
      <c r="B120" s="327" t="s">
        <v>5</v>
      </c>
      <c r="C120" s="352" t="s">
        <v>347</v>
      </c>
      <c r="D120" s="352" t="s">
        <v>347</v>
      </c>
      <c r="E120" s="352" t="s">
        <v>347</v>
      </c>
      <c r="F120" s="352" t="s">
        <v>347</v>
      </c>
      <c r="G120" s="352" t="s">
        <v>347</v>
      </c>
      <c r="H120" s="352" t="s">
        <v>347</v>
      </c>
      <c r="I120" s="352" t="s">
        <v>347</v>
      </c>
      <c r="J120" s="352" t="s">
        <v>347</v>
      </c>
      <c r="K120" s="352" t="s">
        <v>347</v>
      </c>
      <c r="L120" s="352" t="s">
        <v>347</v>
      </c>
    </row>
    <row r="121" spans="1:12" hidden="1">
      <c r="A121" s="489" t="s">
        <v>292</v>
      </c>
      <c r="B121" s="259" t="s">
        <v>26</v>
      </c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</row>
    <row r="122" spans="1:12" hidden="1">
      <c r="A122" s="490"/>
      <c r="B122" s="260" t="s">
        <v>37</v>
      </c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</row>
    <row r="123" spans="1:12" hidden="1">
      <c r="A123" s="490"/>
      <c r="B123" s="260" t="s">
        <v>39</v>
      </c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</row>
    <row r="124" spans="1:12" hidden="1">
      <c r="A124" s="490"/>
      <c r="B124" s="261" t="s">
        <v>40</v>
      </c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</row>
    <row r="125" spans="1:12" hidden="1">
      <c r="A125" s="490"/>
      <c r="B125" s="261" t="s">
        <v>47</v>
      </c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</row>
    <row r="126" spans="1:12" ht="66.75" hidden="1" customHeight="1">
      <c r="A126" s="490"/>
      <c r="B126" s="327" t="s">
        <v>313</v>
      </c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</row>
    <row r="127" spans="1:12" hidden="1">
      <c r="A127" s="494"/>
      <c r="B127" s="260" t="s">
        <v>5</v>
      </c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</row>
    <row r="131" spans="1:12">
      <c r="A131" s="485" t="s">
        <v>312</v>
      </c>
      <c r="B131" s="258" t="s">
        <v>268</v>
      </c>
      <c r="C131" s="483">
        <v>46251</v>
      </c>
      <c r="D131" s="484"/>
      <c r="E131" s="483">
        <v>46252</v>
      </c>
      <c r="F131" s="484"/>
      <c r="G131" s="483">
        <v>46253</v>
      </c>
      <c r="H131" s="484"/>
      <c r="I131" s="483">
        <v>46254</v>
      </c>
      <c r="J131" s="484"/>
      <c r="K131" s="483">
        <v>46255</v>
      </c>
      <c r="L131" s="484"/>
    </row>
    <row r="132" spans="1:12">
      <c r="A132" s="486"/>
      <c r="B132" s="258" t="s">
        <v>269</v>
      </c>
      <c r="C132" s="267" t="s">
        <v>50</v>
      </c>
      <c r="D132" s="267" t="s">
        <v>49</v>
      </c>
      <c r="E132" s="267" t="s">
        <v>50</v>
      </c>
      <c r="F132" s="267" t="s">
        <v>49</v>
      </c>
      <c r="G132" s="267" t="s">
        <v>50</v>
      </c>
      <c r="H132" s="267" t="s">
        <v>49</v>
      </c>
      <c r="I132" s="267" t="s">
        <v>50</v>
      </c>
      <c r="J132" s="267" t="s">
        <v>49</v>
      </c>
      <c r="K132" s="267" t="s">
        <v>50</v>
      </c>
      <c r="L132" s="267" t="s">
        <v>49</v>
      </c>
    </row>
    <row r="133" spans="1:12">
      <c r="A133" s="489" t="s">
        <v>291</v>
      </c>
      <c r="B133" s="259" t="s">
        <v>26</v>
      </c>
      <c r="C133" s="353" t="s">
        <v>342</v>
      </c>
      <c r="D133" s="353" t="s">
        <v>343</v>
      </c>
      <c r="E133" s="353" t="s">
        <v>342</v>
      </c>
      <c r="F133" s="353" t="s">
        <v>343</v>
      </c>
      <c r="G133" s="353" t="s">
        <v>342</v>
      </c>
      <c r="H133" s="353" t="s">
        <v>343</v>
      </c>
      <c r="I133" s="353" t="s">
        <v>342</v>
      </c>
      <c r="J133" s="353" t="s">
        <v>343</v>
      </c>
      <c r="K133" s="353" t="s">
        <v>342</v>
      </c>
      <c r="L133" s="353" t="s">
        <v>343</v>
      </c>
    </row>
    <row r="134" spans="1:12" ht="75">
      <c r="A134" s="490"/>
      <c r="B134" s="260" t="s">
        <v>37</v>
      </c>
      <c r="C134" s="351" t="s">
        <v>344</v>
      </c>
      <c r="D134" s="351" t="s">
        <v>344</v>
      </c>
      <c r="E134" s="351" t="s">
        <v>344</v>
      </c>
      <c r="F134" s="351" t="s">
        <v>344</v>
      </c>
      <c r="G134" s="351" t="s">
        <v>344</v>
      </c>
      <c r="H134" s="351" t="s">
        <v>344</v>
      </c>
      <c r="I134" s="351" t="s">
        <v>344</v>
      </c>
      <c r="J134" s="351" t="s">
        <v>344</v>
      </c>
      <c r="K134" s="351" t="s">
        <v>344</v>
      </c>
      <c r="L134" s="351" t="s">
        <v>344</v>
      </c>
    </row>
    <row r="135" spans="1:12">
      <c r="A135" s="490"/>
      <c r="B135" s="260" t="s">
        <v>39</v>
      </c>
      <c r="C135" s="182" t="s">
        <v>273</v>
      </c>
      <c r="D135" s="182" t="s">
        <v>273</v>
      </c>
      <c r="E135" s="182" t="s">
        <v>273</v>
      </c>
      <c r="F135" s="182" t="s">
        <v>273</v>
      </c>
      <c r="G135" s="182" t="s">
        <v>273</v>
      </c>
      <c r="H135" s="182" t="s">
        <v>273</v>
      </c>
      <c r="I135" s="182" t="s">
        <v>273</v>
      </c>
      <c r="J135" s="182" t="s">
        <v>273</v>
      </c>
      <c r="K135" s="182" t="s">
        <v>273</v>
      </c>
      <c r="L135" s="182" t="s">
        <v>273</v>
      </c>
    </row>
    <row r="136" spans="1:12">
      <c r="A136" s="490"/>
      <c r="B136" s="261" t="s">
        <v>40</v>
      </c>
      <c r="C136" s="182" t="s">
        <v>98</v>
      </c>
      <c r="D136" s="182" t="s">
        <v>98</v>
      </c>
      <c r="E136" s="182" t="s">
        <v>98</v>
      </c>
      <c r="F136" s="182" t="s">
        <v>98</v>
      </c>
      <c r="G136" s="182" t="s">
        <v>345</v>
      </c>
      <c r="H136" s="182" t="s">
        <v>345</v>
      </c>
      <c r="I136" s="182" t="s">
        <v>345</v>
      </c>
      <c r="J136" s="182" t="s">
        <v>345</v>
      </c>
      <c r="K136" s="182" t="s">
        <v>98</v>
      </c>
      <c r="L136" s="182" t="s">
        <v>98</v>
      </c>
    </row>
    <row r="137" spans="1:12">
      <c r="A137" s="490"/>
      <c r="B137" s="261" t="s">
        <v>47</v>
      </c>
      <c r="C137" s="182" t="s">
        <v>346</v>
      </c>
      <c r="D137" s="182" t="s">
        <v>346</v>
      </c>
      <c r="E137" s="182" t="s">
        <v>346</v>
      </c>
      <c r="F137" s="182" t="s">
        <v>346</v>
      </c>
      <c r="G137" s="182" t="s">
        <v>346</v>
      </c>
      <c r="H137" s="182" t="s">
        <v>346</v>
      </c>
      <c r="I137" s="182" t="s">
        <v>346</v>
      </c>
      <c r="J137" s="182" t="s">
        <v>346</v>
      </c>
      <c r="K137" s="182" t="s">
        <v>346</v>
      </c>
      <c r="L137" s="182" t="s">
        <v>346</v>
      </c>
    </row>
    <row r="138" spans="1:12" s="405" customFormat="1" ht="48.75" customHeight="1">
      <c r="A138" s="490"/>
      <c r="B138" s="406" t="s">
        <v>313</v>
      </c>
      <c r="C138" s="404">
        <v>1</v>
      </c>
      <c r="D138" s="404">
        <v>1</v>
      </c>
      <c r="E138" s="404">
        <v>1</v>
      </c>
      <c r="F138" s="404">
        <v>1</v>
      </c>
      <c r="G138" s="404">
        <v>1</v>
      </c>
      <c r="H138" s="404">
        <v>1</v>
      </c>
      <c r="I138" s="404">
        <v>1</v>
      </c>
      <c r="J138" s="404">
        <v>1</v>
      </c>
      <c r="K138" s="404">
        <v>1</v>
      </c>
      <c r="L138" s="404">
        <v>1</v>
      </c>
    </row>
    <row r="139" spans="1:12" s="410" customFormat="1" ht="45">
      <c r="A139" s="494"/>
      <c r="B139" s="327" t="s">
        <v>5</v>
      </c>
      <c r="C139" s="352" t="s">
        <v>347</v>
      </c>
      <c r="D139" s="352" t="s">
        <v>347</v>
      </c>
      <c r="E139" s="352" t="s">
        <v>347</v>
      </c>
      <c r="F139" s="352" t="s">
        <v>347</v>
      </c>
      <c r="G139" s="352" t="s">
        <v>347</v>
      </c>
      <c r="H139" s="352" t="s">
        <v>347</v>
      </c>
      <c r="I139" s="352" t="s">
        <v>347</v>
      </c>
      <c r="J139" s="352" t="s">
        <v>347</v>
      </c>
      <c r="K139" s="352" t="s">
        <v>347</v>
      </c>
      <c r="L139" s="352" t="s">
        <v>347</v>
      </c>
    </row>
    <row r="140" spans="1:12" hidden="1">
      <c r="A140" s="489" t="s">
        <v>292</v>
      </c>
      <c r="B140" s="259" t="s">
        <v>26</v>
      </c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</row>
    <row r="141" spans="1:12" hidden="1">
      <c r="A141" s="490"/>
      <c r="B141" s="260" t="s">
        <v>37</v>
      </c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</row>
    <row r="142" spans="1:12" hidden="1">
      <c r="A142" s="490"/>
      <c r="B142" s="260" t="s">
        <v>39</v>
      </c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</row>
    <row r="143" spans="1:12" hidden="1">
      <c r="A143" s="490"/>
      <c r="B143" s="261" t="s">
        <v>40</v>
      </c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</row>
    <row r="144" spans="1:12" hidden="1">
      <c r="A144" s="490"/>
      <c r="B144" s="261" t="s">
        <v>47</v>
      </c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</row>
    <row r="145" spans="1:12" ht="61.5" hidden="1" customHeight="1">
      <c r="A145" s="490"/>
      <c r="B145" s="327" t="s">
        <v>313</v>
      </c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</row>
    <row r="146" spans="1:12" hidden="1">
      <c r="A146" s="494"/>
      <c r="B146" s="260" t="s">
        <v>5</v>
      </c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</row>
    <row r="150" spans="1:12">
      <c r="A150" s="485" t="s">
        <v>312</v>
      </c>
      <c r="B150" s="258" t="s">
        <v>268</v>
      </c>
      <c r="C150" s="483">
        <v>46258</v>
      </c>
      <c r="D150" s="484"/>
      <c r="E150" s="483">
        <v>46259</v>
      </c>
      <c r="F150" s="484"/>
      <c r="G150" s="483">
        <v>46260</v>
      </c>
      <c r="H150" s="484"/>
      <c r="I150" s="483">
        <v>46261</v>
      </c>
      <c r="J150" s="484"/>
      <c r="K150" s="483">
        <v>46262</v>
      </c>
      <c r="L150" s="484"/>
    </row>
    <row r="151" spans="1:12">
      <c r="A151" s="486"/>
      <c r="B151" s="258" t="s">
        <v>269</v>
      </c>
      <c r="C151" s="267" t="s">
        <v>50</v>
      </c>
      <c r="D151" s="267" t="s">
        <v>49</v>
      </c>
      <c r="E151" s="267" t="s">
        <v>50</v>
      </c>
      <c r="F151" s="267" t="s">
        <v>49</v>
      </c>
      <c r="G151" s="267" t="s">
        <v>50</v>
      </c>
      <c r="H151" s="267" t="s">
        <v>49</v>
      </c>
      <c r="I151" s="267" t="s">
        <v>50</v>
      </c>
      <c r="J151" s="267" t="s">
        <v>49</v>
      </c>
      <c r="K151" s="267" t="s">
        <v>50</v>
      </c>
      <c r="L151" s="267" t="s">
        <v>49</v>
      </c>
    </row>
    <row r="152" spans="1:12">
      <c r="A152" s="489" t="s">
        <v>291</v>
      </c>
      <c r="B152" s="259" t="s">
        <v>26</v>
      </c>
      <c r="C152" s="353" t="s">
        <v>342</v>
      </c>
      <c r="D152" s="353" t="s">
        <v>343</v>
      </c>
      <c r="E152" s="353" t="s">
        <v>342</v>
      </c>
      <c r="F152" s="353" t="s">
        <v>343</v>
      </c>
      <c r="G152" s="353" t="s">
        <v>342</v>
      </c>
      <c r="H152" s="353" t="s">
        <v>343</v>
      </c>
      <c r="I152" s="353" t="s">
        <v>342</v>
      </c>
      <c r="J152" s="353" t="s">
        <v>343</v>
      </c>
      <c r="K152" s="353" t="s">
        <v>342</v>
      </c>
      <c r="L152" s="353" t="s">
        <v>343</v>
      </c>
    </row>
    <row r="153" spans="1:12" ht="75">
      <c r="A153" s="490"/>
      <c r="B153" s="260" t="s">
        <v>37</v>
      </c>
      <c r="C153" s="351" t="s">
        <v>344</v>
      </c>
      <c r="D153" s="351" t="s">
        <v>344</v>
      </c>
      <c r="E153" s="351" t="s">
        <v>344</v>
      </c>
      <c r="F153" s="351" t="s">
        <v>344</v>
      </c>
      <c r="G153" s="351" t="s">
        <v>344</v>
      </c>
      <c r="H153" s="351" t="s">
        <v>344</v>
      </c>
      <c r="I153" s="351" t="s">
        <v>344</v>
      </c>
      <c r="J153" s="351" t="s">
        <v>344</v>
      </c>
      <c r="K153" s="351" t="s">
        <v>344</v>
      </c>
      <c r="L153" s="351" t="s">
        <v>344</v>
      </c>
    </row>
    <row r="154" spans="1:12">
      <c r="A154" s="490"/>
      <c r="B154" s="260" t="s">
        <v>39</v>
      </c>
      <c r="C154" s="182" t="s">
        <v>273</v>
      </c>
      <c r="D154" s="182" t="s">
        <v>273</v>
      </c>
      <c r="E154" s="182" t="s">
        <v>273</v>
      </c>
      <c r="F154" s="182" t="s">
        <v>273</v>
      </c>
      <c r="G154" s="182" t="s">
        <v>273</v>
      </c>
      <c r="H154" s="182" t="s">
        <v>273</v>
      </c>
      <c r="I154" s="182" t="s">
        <v>273</v>
      </c>
      <c r="J154" s="182" t="s">
        <v>273</v>
      </c>
      <c r="K154" s="182" t="s">
        <v>273</v>
      </c>
      <c r="L154" s="182" t="s">
        <v>273</v>
      </c>
    </row>
    <row r="155" spans="1:12">
      <c r="A155" s="490"/>
      <c r="B155" s="261" t="s">
        <v>40</v>
      </c>
      <c r="C155" s="182" t="s">
        <v>98</v>
      </c>
      <c r="D155" s="182" t="s">
        <v>98</v>
      </c>
      <c r="E155" s="182" t="s">
        <v>98</v>
      </c>
      <c r="F155" s="182" t="s">
        <v>98</v>
      </c>
      <c r="G155" s="182" t="s">
        <v>95</v>
      </c>
      <c r="H155" s="182" t="s">
        <v>95</v>
      </c>
      <c r="I155" s="182" t="s">
        <v>95</v>
      </c>
      <c r="J155" s="182" t="s">
        <v>95</v>
      </c>
      <c r="K155" s="182" t="s">
        <v>98</v>
      </c>
      <c r="L155" s="182" t="s">
        <v>98</v>
      </c>
    </row>
    <row r="156" spans="1:12">
      <c r="A156" s="490"/>
      <c r="B156" s="261" t="s">
        <v>47</v>
      </c>
      <c r="C156" s="182" t="s">
        <v>346</v>
      </c>
      <c r="D156" s="182" t="s">
        <v>346</v>
      </c>
      <c r="E156" s="182" t="s">
        <v>346</v>
      </c>
      <c r="F156" s="182" t="s">
        <v>346</v>
      </c>
      <c r="G156" s="182" t="s">
        <v>346</v>
      </c>
      <c r="H156" s="182" t="s">
        <v>346</v>
      </c>
      <c r="I156" s="182" t="s">
        <v>346</v>
      </c>
      <c r="J156" s="182" t="s">
        <v>346</v>
      </c>
      <c r="K156" s="182" t="s">
        <v>346</v>
      </c>
      <c r="L156" s="182" t="s">
        <v>346</v>
      </c>
    </row>
    <row r="157" spans="1:12" s="405" customFormat="1" ht="57.75" customHeight="1">
      <c r="A157" s="490"/>
      <c r="B157" s="406" t="s">
        <v>313</v>
      </c>
      <c r="C157" s="404">
        <v>1</v>
      </c>
      <c r="D157" s="404">
        <v>1</v>
      </c>
      <c r="E157" s="404">
        <v>1</v>
      </c>
      <c r="F157" s="404">
        <v>1</v>
      </c>
      <c r="G157" s="404">
        <v>1</v>
      </c>
      <c r="H157" s="404">
        <v>1</v>
      </c>
      <c r="I157" s="404">
        <v>1</v>
      </c>
      <c r="J157" s="404">
        <v>1</v>
      </c>
      <c r="K157" s="404">
        <v>1</v>
      </c>
      <c r="L157" s="404">
        <v>1</v>
      </c>
    </row>
    <row r="158" spans="1:12" s="410" customFormat="1" ht="45">
      <c r="A158" s="494"/>
      <c r="B158" s="327" t="s">
        <v>5</v>
      </c>
      <c r="C158" s="352" t="s">
        <v>347</v>
      </c>
      <c r="D158" s="352" t="s">
        <v>347</v>
      </c>
      <c r="E158" s="352" t="s">
        <v>347</v>
      </c>
      <c r="F158" s="352" t="s">
        <v>347</v>
      </c>
      <c r="G158" s="352" t="s">
        <v>347</v>
      </c>
      <c r="H158" s="352" t="s">
        <v>347</v>
      </c>
      <c r="I158" s="352" t="s">
        <v>347</v>
      </c>
      <c r="J158" s="352" t="s">
        <v>347</v>
      </c>
      <c r="K158" s="352" t="s">
        <v>347</v>
      </c>
      <c r="L158" s="352" t="s">
        <v>347</v>
      </c>
    </row>
    <row r="159" spans="1:12">
      <c r="A159" s="489" t="s">
        <v>292</v>
      </c>
      <c r="B159" s="259" t="s">
        <v>26</v>
      </c>
      <c r="C159" s="182"/>
      <c r="D159" s="182"/>
      <c r="E159" s="353" t="s">
        <v>30</v>
      </c>
      <c r="F159" s="182"/>
      <c r="G159" s="353" t="s">
        <v>444</v>
      </c>
      <c r="H159" s="182"/>
      <c r="I159" s="182"/>
      <c r="J159" s="182"/>
      <c r="K159" s="182"/>
      <c r="L159" s="182"/>
    </row>
    <row r="160" spans="1:12">
      <c r="A160" s="490"/>
      <c r="B160" s="260" t="s">
        <v>37</v>
      </c>
      <c r="C160" s="182"/>
      <c r="D160" s="182"/>
      <c r="E160" s="182" t="s">
        <v>386</v>
      </c>
      <c r="F160" s="182"/>
      <c r="G160" s="182" t="s">
        <v>445</v>
      </c>
      <c r="H160" s="182"/>
      <c r="I160" s="182"/>
      <c r="J160" s="182"/>
      <c r="K160" s="182"/>
      <c r="L160" s="182"/>
    </row>
    <row r="161" spans="1:12">
      <c r="A161" s="490"/>
      <c r="B161" s="260" t="s">
        <v>39</v>
      </c>
      <c r="C161" s="182"/>
      <c r="D161" s="182"/>
      <c r="E161" s="182" t="s">
        <v>58</v>
      </c>
      <c r="F161" s="182"/>
      <c r="G161" s="182" t="s">
        <v>438</v>
      </c>
      <c r="H161" s="182"/>
      <c r="I161" s="182"/>
      <c r="J161" s="182"/>
      <c r="K161" s="182"/>
      <c r="L161" s="182"/>
    </row>
    <row r="162" spans="1:12">
      <c r="A162" s="490"/>
      <c r="B162" s="261" t="s">
        <v>40</v>
      </c>
      <c r="C162" s="182"/>
      <c r="D162" s="182"/>
      <c r="E162" s="182" t="s">
        <v>387</v>
      </c>
      <c r="F162" s="182"/>
      <c r="G162" s="182" t="s">
        <v>446</v>
      </c>
      <c r="H162" s="182"/>
      <c r="I162" s="182"/>
      <c r="J162" s="182"/>
      <c r="K162" s="182"/>
      <c r="L162" s="182"/>
    </row>
    <row r="163" spans="1:12">
      <c r="A163" s="490"/>
      <c r="B163" s="261" t="s">
        <v>47</v>
      </c>
      <c r="C163" s="182"/>
      <c r="D163" s="182"/>
      <c r="E163" s="370"/>
      <c r="F163" s="182"/>
      <c r="G163" s="182" t="s">
        <v>440</v>
      </c>
      <c r="H163" s="182"/>
      <c r="I163" s="182"/>
      <c r="J163" s="182"/>
      <c r="K163" s="182"/>
      <c r="L163" s="182"/>
    </row>
    <row r="164" spans="1:12" s="405" customFormat="1" ht="57.75" customHeight="1">
      <c r="A164" s="490"/>
      <c r="B164" s="406" t="s">
        <v>313</v>
      </c>
      <c r="C164" s="404"/>
      <c r="D164" s="404"/>
      <c r="E164" s="404">
        <v>1</v>
      </c>
      <c r="F164" s="404"/>
      <c r="G164" s="182">
        <v>1</v>
      </c>
      <c r="H164" s="404"/>
      <c r="I164" s="404"/>
      <c r="J164" s="404"/>
      <c r="K164" s="404"/>
      <c r="L164" s="404"/>
    </row>
    <row r="165" spans="1:12">
      <c r="A165" s="494"/>
      <c r="B165" s="260" t="s">
        <v>5</v>
      </c>
      <c r="C165" s="182"/>
      <c r="D165" s="182"/>
      <c r="E165" s="182" t="s">
        <v>388</v>
      </c>
      <c r="F165" s="182"/>
      <c r="G165" s="182" t="s">
        <v>441</v>
      </c>
      <c r="H165" s="182"/>
      <c r="I165" s="182"/>
      <c r="J165" s="182"/>
      <c r="K165" s="182"/>
      <c r="L165" s="182"/>
    </row>
  </sheetData>
  <mergeCells count="69">
    <mergeCell ref="A65:A71"/>
    <mergeCell ref="K150:L150"/>
    <mergeCell ref="A152:A158"/>
    <mergeCell ref="A159:A165"/>
    <mergeCell ref="A1:L1"/>
    <mergeCell ref="A150:A151"/>
    <mergeCell ref="C150:D150"/>
    <mergeCell ref="E150:F150"/>
    <mergeCell ref="G150:H150"/>
    <mergeCell ref="I150:J150"/>
    <mergeCell ref="G131:H131"/>
    <mergeCell ref="I131:J131"/>
    <mergeCell ref="K131:L131"/>
    <mergeCell ref="A133:A139"/>
    <mergeCell ref="A140:A146"/>
    <mergeCell ref="A114:A120"/>
    <mergeCell ref="A121:A127"/>
    <mergeCell ref="K74:L74"/>
    <mergeCell ref="A76:A82"/>
    <mergeCell ref="A83:A89"/>
    <mergeCell ref="A131:A132"/>
    <mergeCell ref="C131:D131"/>
    <mergeCell ref="E131:F131"/>
    <mergeCell ref="K93:L93"/>
    <mergeCell ref="A95:A101"/>
    <mergeCell ref="A102:A108"/>
    <mergeCell ref="A112:A113"/>
    <mergeCell ref="C112:D112"/>
    <mergeCell ref="E112:F112"/>
    <mergeCell ref="G112:H112"/>
    <mergeCell ref="I112:J112"/>
    <mergeCell ref="K112:L112"/>
    <mergeCell ref="A93:A94"/>
    <mergeCell ref="A74:A75"/>
    <mergeCell ref="C74:D74"/>
    <mergeCell ref="E74:F74"/>
    <mergeCell ref="I93:J93"/>
    <mergeCell ref="G74:H74"/>
    <mergeCell ref="I74:J74"/>
    <mergeCell ref="C93:D93"/>
    <mergeCell ref="E93:F93"/>
    <mergeCell ref="G93:H93"/>
    <mergeCell ref="G49:H49"/>
    <mergeCell ref="I49:J49"/>
    <mergeCell ref="K49:L49"/>
    <mergeCell ref="A51:A57"/>
    <mergeCell ref="A58:A64"/>
    <mergeCell ref="A32:A38"/>
    <mergeCell ref="A39:A45"/>
    <mergeCell ref="E32:F45"/>
    <mergeCell ref="A49:A50"/>
    <mergeCell ref="C49:D49"/>
    <mergeCell ref="E49:F49"/>
    <mergeCell ref="N3:O3"/>
    <mergeCell ref="K3:L3"/>
    <mergeCell ref="A30:A31"/>
    <mergeCell ref="A3:A4"/>
    <mergeCell ref="C30:D30"/>
    <mergeCell ref="E30:F30"/>
    <mergeCell ref="G30:H30"/>
    <mergeCell ref="I30:J30"/>
    <mergeCell ref="A5:A11"/>
    <mergeCell ref="A12:A18"/>
    <mergeCell ref="C3:D3"/>
    <mergeCell ref="E3:F3"/>
    <mergeCell ref="G3:H3"/>
    <mergeCell ref="I3:J3"/>
    <mergeCell ref="K30:L30"/>
    <mergeCell ref="A19:A25"/>
  </mergeCells>
  <pageMargins left="0.7" right="0.7" top="0.75" bottom="0.75" header="0.3" footer="0.3"/>
  <pageSetup paperSize="8" scale="2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7"/>
  <sheetViews>
    <sheetView workbookViewId="0">
      <selection activeCell="J10" sqref="J10"/>
    </sheetView>
  </sheetViews>
  <sheetFormatPr baseColWidth="10" defaultRowHeight="15"/>
  <cols>
    <col min="2" max="2" width="31.140625" customWidth="1"/>
    <col min="3" max="3" width="14.140625" customWidth="1"/>
    <col min="5" max="5" width="15.140625" customWidth="1"/>
  </cols>
  <sheetData>
    <row r="1" spans="2:6" ht="15.75" thickBot="1"/>
    <row r="2" spans="2:6" ht="35.25" thickBot="1">
      <c r="B2" s="501" t="s">
        <v>314</v>
      </c>
      <c r="C2" s="502"/>
      <c r="D2" s="502"/>
      <c r="E2" s="502"/>
      <c r="F2" s="503"/>
    </row>
    <row r="3" spans="2:6">
      <c r="B3" s="2"/>
      <c r="C3" s="2"/>
    </row>
    <row r="4" spans="2:6" ht="30">
      <c r="B4" s="147"/>
      <c r="C4" s="152" t="s">
        <v>24</v>
      </c>
      <c r="D4" s="153" t="s">
        <v>107</v>
      </c>
      <c r="E4" s="154" t="s">
        <v>62</v>
      </c>
      <c r="F4" s="154" t="s">
        <v>108</v>
      </c>
    </row>
    <row r="5" spans="2:6">
      <c r="B5" s="220" t="s">
        <v>423</v>
      </c>
      <c r="C5" s="150">
        <v>4</v>
      </c>
      <c r="D5" s="155">
        <f>C5*15</f>
        <v>60</v>
      </c>
      <c r="E5" s="164"/>
      <c r="F5" s="164"/>
    </row>
    <row r="6" spans="2:6">
      <c r="B6" s="220" t="s">
        <v>398</v>
      </c>
      <c r="C6" s="150">
        <v>5</v>
      </c>
      <c r="D6" s="155">
        <f t="shared" ref="D6:D26" si="0">C6*15</f>
        <v>75</v>
      </c>
      <c r="E6" s="164"/>
      <c r="F6" s="164"/>
    </row>
    <row r="7" spans="2:6">
      <c r="B7" s="214" t="s">
        <v>334</v>
      </c>
      <c r="C7" s="150">
        <v>3</v>
      </c>
      <c r="D7" s="155">
        <f t="shared" si="0"/>
        <v>45</v>
      </c>
      <c r="E7" s="164"/>
      <c r="F7" s="164"/>
    </row>
    <row r="8" spans="2:6">
      <c r="B8" s="7" t="s">
        <v>164</v>
      </c>
      <c r="C8" s="150">
        <v>2</v>
      </c>
      <c r="D8" s="155">
        <f t="shared" si="0"/>
        <v>30</v>
      </c>
      <c r="E8" s="164"/>
      <c r="F8" s="164"/>
    </row>
    <row r="9" spans="2:6">
      <c r="B9" s="220" t="s">
        <v>422</v>
      </c>
      <c r="C9" s="150">
        <v>5</v>
      </c>
      <c r="D9" s="155">
        <f t="shared" si="0"/>
        <v>75</v>
      </c>
      <c r="E9" s="164"/>
      <c r="F9" s="164"/>
    </row>
    <row r="10" spans="2:6">
      <c r="B10" s="220" t="s">
        <v>328</v>
      </c>
      <c r="C10" s="150">
        <v>2</v>
      </c>
      <c r="D10" s="155">
        <f t="shared" si="0"/>
        <v>30</v>
      </c>
      <c r="E10" s="164"/>
      <c r="F10" s="164"/>
    </row>
    <row r="11" spans="2:6">
      <c r="B11" s="9" t="s">
        <v>428</v>
      </c>
      <c r="C11" s="150">
        <v>5</v>
      </c>
      <c r="D11" s="155">
        <f t="shared" si="0"/>
        <v>75</v>
      </c>
      <c r="E11" s="164"/>
      <c r="F11" s="164"/>
    </row>
    <row r="12" spans="2:6">
      <c r="B12" s="3"/>
      <c r="C12" s="150"/>
      <c r="D12" s="155">
        <f t="shared" si="0"/>
        <v>0</v>
      </c>
      <c r="E12" s="164"/>
      <c r="F12" s="164"/>
    </row>
    <row r="13" spans="2:6">
      <c r="B13" s="3"/>
      <c r="C13" s="150"/>
      <c r="D13" s="155">
        <f t="shared" si="0"/>
        <v>0</v>
      </c>
      <c r="E13" s="164"/>
      <c r="F13" s="164"/>
    </row>
    <row r="14" spans="2:6">
      <c r="B14" s="3"/>
      <c r="C14" s="150"/>
      <c r="D14" s="155">
        <f t="shared" si="0"/>
        <v>0</v>
      </c>
      <c r="E14" s="164"/>
      <c r="F14" s="164"/>
    </row>
    <row r="15" spans="2:6">
      <c r="B15" s="3"/>
      <c r="C15" s="150"/>
      <c r="D15" s="155">
        <f t="shared" si="0"/>
        <v>0</v>
      </c>
      <c r="E15" s="164"/>
      <c r="F15" s="164"/>
    </row>
    <row r="16" spans="2:6">
      <c r="B16" s="3"/>
      <c r="C16" s="150"/>
      <c r="D16" s="155">
        <f t="shared" si="0"/>
        <v>0</v>
      </c>
      <c r="E16" s="164"/>
      <c r="F16" s="164"/>
    </row>
    <row r="17" spans="2:6">
      <c r="B17" s="3"/>
      <c r="C17" s="150"/>
      <c r="D17" s="155">
        <f t="shared" si="0"/>
        <v>0</v>
      </c>
      <c r="E17" s="164"/>
      <c r="F17" s="164"/>
    </row>
    <row r="18" spans="2:6">
      <c r="B18" s="3"/>
      <c r="C18" s="150"/>
      <c r="D18" s="155">
        <f>C18*15</f>
        <v>0</v>
      </c>
      <c r="E18" s="164"/>
      <c r="F18" s="166"/>
    </row>
    <row r="19" spans="2:6">
      <c r="B19" s="3"/>
      <c r="C19" s="150"/>
      <c r="D19" s="155">
        <f t="shared" ref="D19:D25" si="1">C19*15</f>
        <v>0</v>
      </c>
      <c r="E19" s="164"/>
      <c r="F19" s="164"/>
    </row>
    <row r="20" spans="2:6">
      <c r="B20" s="3"/>
      <c r="C20" s="150"/>
      <c r="D20" s="155">
        <f t="shared" si="1"/>
        <v>0</v>
      </c>
      <c r="E20" s="164"/>
      <c r="F20" s="164"/>
    </row>
    <row r="21" spans="2:6">
      <c r="B21" s="3"/>
      <c r="C21" s="150"/>
      <c r="D21" s="155">
        <f t="shared" si="1"/>
        <v>0</v>
      </c>
      <c r="E21" s="164"/>
      <c r="F21" s="166"/>
    </row>
    <row r="22" spans="2:6">
      <c r="B22" s="3"/>
      <c r="C22" s="150"/>
      <c r="D22" s="155">
        <f t="shared" si="1"/>
        <v>0</v>
      </c>
      <c r="E22" s="164"/>
      <c r="F22" s="164"/>
    </row>
    <row r="23" spans="2:6">
      <c r="B23" s="3"/>
      <c r="C23" s="150"/>
      <c r="D23" s="155">
        <f t="shared" si="1"/>
        <v>0</v>
      </c>
      <c r="E23" s="164"/>
      <c r="F23" s="164"/>
    </row>
    <row r="24" spans="2:6">
      <c r="B24" s="3"/>
      <c r="C24" s="150"/>
      <c r="D24" s="155">
        <f t="shared" si="1"/>
        <v>0</v>
      </c>
      <c r="E24" s="164"/>
      <c r="F24" s="164"/>
    </row>
    <row r="25" spans="2:6">
      <c r="B25" s="3"/>
      <c r="C25" s="150"/>
      <c r="D25" s="155">
        <f t="shared" si="1"/>
        <v>0</v>
      </c>
      <c r="E25" s="164"/>
      <c r="F25" s="164"/>
    </row>
    <row r="26" spans="2:6">
      <c r="B26" s="3"/>
      <c r="C26" s="150"/>
      <c r="D26" s="155">
        <f t="shared" si="0"/>
        <v>0</v>
      </c>
      <c r="E26" s="164"/>
      <c r="F26" s="164"/>
    </row>
    <row r="27" spans="2:6">
      <c r="B27" s="157"/>
      <c r="C27" s="150">
        <f>SUM(C5:C26)</f>
        <v>26</v>
      </c>
      <c r="D27" s="155">
        <f>SUM(D5:D20)</f>
        <v>390</v>
      </c>
      <c r="E27" s="164"/>
      <c r="F27" s="156"/>
    </row>
  </sheetData>
  <mergeCells count="1">
    <mergeCell ref="B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zoomScale="69" zoomScaleNormal="69" workbookViewId="0">
      <selection activeCell="D31" sqref="D31"/>
    </sheetView>
  </sheetViews>
  <sheetFormatPr baseColWidth="10" defaultRowHeight="15.75"/>
  <cols>
    <col min="1" max="1" width="11" style="301" bestFit="1" customWidth="1"/>
    <col min="2" max="2" width="17" style="262" bestFit="1" customWidth="1"/>
    <col min="3" max="3" width="25.140625" style="263" bestFit="1" customWidth="1"/>
    <col min="4" max="4" width="25" style="263" bestFit="1" customWidth="1"/>
    <col min="5" max="5" width="25.140625" style="263" bestFit="1" customWidth="1"/>
    <col min="6" max="6" width="4.85546875" style="263" bestFit="1" customWidth="1"/>
    <col min="7" max="7" width="25.140625" style="263" bestFit="1" customWidth="1"/>
    <col min="8" max="8" width="25" style="263" bestFit="1" customWidth="1"/>
    <col min="9" max="9" width="6.42578125" style="263" bestFit="1" customWidth="1"/>
    <col min="10" max="10" width="4.85546875" style="263" bestFit="1" customWidth="1"/>
    <col min="11" max="11" width="19.5703125" style="263" bestFit="1" customWidth="1"/>
    <col min="12" max="12" width="25" style="263" bestFit="1" customWidth="1"/>
    <col min="13" max="13" width="6.42578125" style="263" bestFit="1" customWidth="1"/>
    <col min="14" max="14" width="25" style="263" bestFit="1" customWidth="1"/>
    <col min="15" max="15" width="25.85546875" style="263" customWidth="1"/>
    <col min="16" max="16" width="4.85546875" style="263" bestFit="1" customWidth="1"/>
    <col min="17" max="17" width="6.42578125" style="263" bestFit="1" customWidth="1"/>
    <col min="18" max="18" width="25" style="263" bestFit="1" customWidth="1"/>
    <col min="19" max="19" width="6.42578125" style="263" bestFit="1" customWidth="1"/>
    <col min="20" max="20" width="4.85546875" style="263" bestFit="1" customWidth="1"/>
    <col min="21" max="21" width="6.42578125" style="263" bestFit="1" customWidth="1"/>
    <col min="22" max="22" width="25" style="263" bestFit="1" customWidth="1"/>
  </cols>
  <sheetData>
    <row r="1" spans="1:22" ht="16.5" thickBot="1">
      <c r="A1" s="470" t="s">
        <v>297</v>
      </c>
      <c r="B1" s="471"/>
    </row>
    <row r="3" spans="1:22">
      <c r="A3" s="485" t="s">
        <v>315</v>
      </c>
      <c r="B3" s="258" t="s">
        <v>268</v>
      </c>
      <c r="C3" s="480">
        <v>46125</v>
      </c>
      <c r="D3" s="481"/>
      <c r="E3" s="472">
        <v>46126</v>
      </c>
      <c r="F3" s="472"/>
      <c r="G3" s="472">
        <v>46127</v>
      </c>
      <c r="H3" s="472"/>
      <c r="I3" s="472">
        <v>46128</v>
      </c>
      <c r="J3" s="472"/>
      <c r="K3" s="472">
        <v>46129</v>
      </c>
      <c r="L3" s="472"/>
      <c r="M3" s="472">
        <v>46132</v>
      </c>
      <c r="N3" s="472"/>
      <c r="O3" s="472">
        <v>46133</v>
      </c>
      <c r="P3" s="472"/>
      <c r="Q3" s="472">
        <v>46134</v>
      </c>
      <c r="R3" s="472"/>
      <c r="S3" s="472">
        <v>46135</v>
      </c>
      <c r="T3" s="472"/>
      <c r="U3" s="472">
        <v>46136</v>
      </c>
      <c r="V3" s="472"/>
    </row>
    <row r="4" spans="1:22">
      <c r="A4" s="486"/>
      <c r="B4" s="258" t="s">
        <v>269</v>
      </c>
      <c r="C4" s="267" t="s">
        <v>50</v>
      </c>
      <c r="D4" s="267" t="s">
        <v>49</v>
      </c>
      <c r="E4" s="267" t="s">
        <v>50</v>
      </c>
      <c r="F4" s="267" t="s">
        <v>49</v>
      </c>
      <c r="G4" s="267" t="s">
        <v>50</v>
      </c>
      <c r="H4" s="267" t="s">
        <v>49</v>
      </c>
      <c r="I4" s="267" t="s">
        <v>50</v>
      </c>
      <c r="J4" s="267" t="s">
        <v>49</v>
      </c>
      <c r="K4" s="267" t="s">
        <v>50</v>
      </c>
      <c r="L4" s="267" t="s">
        <v>49</v>
      </c>
      <c r="M4" s="267" t="s">
        <v>50</v>
      </c>
      <c r="N4" s="267" t="s">
        <v>49</v>
      </c>
      <c r="O4" s="267" t="s">
        <v>50</v>
      </c>
      <c r="P4" s="267" t="s">
        <v>49</v>
      </c>
      <c r="Q4" s="267" t="s">
        <v>50</v>
      </c>
      <c r="R4" s="267" t="s">
        <v>49</v>
      </c>
      <c r="S4" s="267" t="s">
        <v>50</v>
      </c>
      <c r="T4" s="267" t="s">
        <v>49</v>
      </c>
      <c r="U4" s="267" t="s">
        <v>50</v>
      </c>
      <c r="V4" s="267" t="s">
        <v>49</v>
      </c>
    </row>
    <row r="5" spans="1:22" ht="19.5" customHeight="1">
      <c r="A5" s="474" t="s">
        <v>291</v>
      </c>
      <c r="B5" s="259" t="s">
        <v>26</v>
      </c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</row>
    <row r="6" spans="1:22">
      <c r="A6" s="475"/>
      <c r="B6" s="260" t="s">
        <v>37</v>
      </c>
      <c r="C6" s="273"/>
      <c r="D6" s="273"/>
      <c r="E6" s="273"/>
      <c r="F6" s="273"/>
      <c r="G6" s="273"/>
      <c r="H6" s="273"/>
      <c r="I6" s="273"/>
      <c r="J6" s="273"/>
      <c r="K6" s="273"/>
      <c r="L6" s="273"/>
      <c r="M6" s="274"/>
      <c r="N6" s="273"/>
      <c r="O6" s="275"/>
      <c r="P6" s="276"/>
      <c r="Q6" s="275"/>
      <c r="R6" s="273"/>
      <c r="S6" s="274"/>
      <c r="T6" s="274"/>
      <c r="U6" s="274"/>
      <c r="V6" s="273"/>
    </row>
    <row r="7" spans="1:22" ht="19.5" customHeight="1">
      <c r="A7" s="475"/>
      <c r="B7" s="260" t="s">
        <v>39</v>
      </c>
      <c r="C7" s="273"/>
      <c r="D7" s="273"/>
      <c r="E7" s="273"/>
      <c r="F7" s="273"/>
      <c r="G7" s="273"/>
      <c r="H7" s="273"/>
      <c r="I7" s="273"/>
      <c r="J7" s="273"/>
      <c r="K7" s="273"/>
      <c r="L7" s="266"/>
      <c r="M7" s="274"/>
      <c r="N7" s="266"/>
      <c r="O7" s="275"/>
      <c r="P7" s="276"/>
      <c r="Q7" s="275"/>
      <c r="R7" s="266"/>
      <c r="S7" s="274"/>
      <c r="T7" s="274"/>
      <c r="U7" s="274"/>
      <c r="V7" s="266"/>
    </row>
    <row r="8" spans="1:22" ht="19.5" customHeight="1">
      <c r="A8" s="475"/>
      <c r="B8" s="261" t="s">
        <v>40</v>
      </c>
      <c r="C8" s="287"/>
      <c r="D8" s="266"/>
      <c r="E8" s="287"/>
      <c r="F8" s="278"/>
      <c r="G8" s="287"/>
      <c r="H8" s="266"/>
      <c r="I8" s="278"/>
      <c r="J8" s="278"/>
      <c r="K8" s="287"/>
      <c r="L8" s="266"/>
      <c r="M8" s="279"/>
      <c r="N8" s="266"/>
      <c r="O8" s="280"/>
      <c r="P8" s="281"/>
      <c r="Q8" s="280"/>
      <c r="R8" s="266"/>
      <c r="S8" s="278"/>
      <c r="T8" s="278"/>
      <c r="U8" s="278"/>
      <c r="V8" s="266"/>
    </row>
    <row r="9" spans="1:22" ht="19.5" customHeight="1">
      <c r="A9" s="475"/>
      <c r="B9" s="261" t="s">
        <v>47</v>
      </c>
      <c r="C9" s="287"/>
      <c r="D9" s="266"/>
      <c r="E9" s="287"/>
      <c r="F9" s="278"/>
      <c r="G9" s="287"/>
      <c r="H9" s="266"/>
      <c r="I9" s="278"/>
      <c r="J9" s="278"/>
      <c r="K9" s="287"/>
      <c r="L9" s="266"/>
      <c r="M9" s="279"/>
      <c r="N9" s="266"/>
      <c r="O9" s="280"/>
      <c r="P9" s="281"/>
      <c r="Q9" s="280"/>
      <c r="R9" s="266"/>
      <c r="S9" s="278"/>
      <c r="T9" s="278"/>
      <c r="U9" s="278"/>
      <c r="V9" s="266"/>
    </row>
    <row r="10" spans="1:22" ht="44.25" customHeight="1">
      <c r="A10" s="475"/>
      <c r="B10" s="260" t="s">
        <v>38</v>
      </c>
      <c r="C10" s="251"/>
      <c r="D10" s="324"/>
      <c r="E10" s="251"/>
      <c r="F10" s="251"/>
      <c r="G10" s="251"/>
      <c r="H10" s="324"/>
      <c r="I10" s="251"/>
      <c r="J10" s="251"/>
      <c r="K10" s="251"/>
      <c r="L10" s="324"/>
      <c r="M10" s="252"/>
      <c r="N10" s="251"/>
      <c r="O10" s="252"/>
      <c r="P10" s="253"/>
      <c r="Q10" s="252"/>
      <c r="R10" s="325"/>
      <c r="S10" s="252"/>
      <c r="T10" s="252"/>
      <c r="U10" s="252"/>
      <c r="V10" s="251"/>
    </row>
    <row r="11" spans="1:22" ht="19.5" customHeight="1">
      <c r="A11" s="476"/>
      <c r="B11" s="260" t="s">
        <v>5</v>
      </c>
      <c r="C11" s="273"/>
      <c r="D11" s="273"/>
      <c r="E11" s="273"/>
      <c r="F11" s="273"/>
      <c r="G11" s="273"/>
      <c r="H11" s="273"/>
      <c r="I11" s="273"/>
      <c r="J11" s="273"/>
      <c r="K11" s="273"/>
      <c r="L11" s="273"/>
      <c r="M11" s="274"/>
      <c r="N11" s="274"/>
      <c r="O11" s="273"/>
      <c r="P11" s="276"/>
      <c r="Q11" s="273"/>
      <c r="R11" s="274"/>
      <c r="S11" s="274"/>
      <c r="T11" s="274"/>
      <c r="U11" s="274"/>
      <c r="V11" s="274"/>
    </row>
    <row r="12" spans="1:22" ht="15.75" customHeight="1">
      <c r="A12" s="474" t="s">
        <v>292</v>
      </c>
      <c r="B12" s="259" t="s">
        <v>26</v>
      </c>
      <c r="C12" s="270"/>
      <c r="D12" s="266"/>
      <c r="E12" s="270"/>
      <c r="F12" s="266"/>
      <c r="G12" s="270"/>
      <c r="H12" s="270"/>
      <c r="I12" s="270"/>
      <c r="J12" s="270"/>
      <c r="K12" s="270"/>
      <c r="L12" s="270"/>
      <c r="M12" s="270"/>
      <c r="N12" s="270"/>
      <c r="O12" s="270"/>
      <c r="P12" s="270"/>
      <c r="Q12" s="270"/>
      <c r="R12" s="270"/>
      <c r="S12" s="270"/>
      <c r="T12" s="270"/>
      <c r="U12" s="270"/>
      <c r="V12" s="270"/>
    </row>
    <row r="13" spans="1:22">
      <c r="A13" s="475"/>
      <c r="B13" s="260" t="s">
        <v>37</v>
      </c>
      <c r="C13" s="273"/>
      <c r="D13" s="266"/>
      <c r="E13" s="273"/>
      <c r="F13" s="266"/>
      <c r="G13" s="273"/>
      <c r="H13" s="273"/>
      <c r="I13" s="273"/>
      <c r="J13" s="273"/>
      <c r="K13" s="273"/>
      <c r="L13" s="273"/>
      <c r="M13" s="274"/>
      <c r="N13" s="273"/>
      <c r="O13" s="275"/>
      <c r="P13" s="276"/>
      <c r="Q13" s="275"/>
      <c r="R13" s="273"/>
      <c r="S13" s="274"/>
      <c r="T13" s="274"/>
      <c r="U13" s="274"/>
      <c r="V13" s="273"/>
    </row>
    <row r="14" spans="1:22" ht="15.75" customHeight="1">
      <c r="A14" s="475"/>
      <c r="B14" s="260" t="s">
        <v>39</v>
      </c>
      <c r="C14" s="273"/>
      <c r="D14" s="266"/>
      <c r="E14" s="273"/>
      <c r="F14" s="266"/>
      <c r="G14" s="273"/>
      <c r="H14" s="273"/>
      <c r="I14" s="273"/>
      <c r="J14" s="273"/>
      <c r="K14" s="273"/>
      <c r="L14" s="266"/>
      <c r="M14" s="274"/>
      <c r="N14" s="266"/>
      <c r="O14" s="275"/>
      <c r="P14" s="276"/>
      <c r="Q14" s="275"/>
      <c r="R14" s="266"/>
      <c r="S14" s="274"/>
      <c r="T14" s="274"/>
      <c r="U14" s="274"/>
      <c r="V14" s="266"/>
    </row>
    <row r="15" spans="1:22" ht="15.75" customHeight="1">
      <c r="A15" s="475"/>
      <c r="B15" s="261" t="s">
        <v>40</v>
      </c>
      <c r="C15" s="287"/>
      <c r="D15" s="266"/>
      <c r="E15" s="287"/>
      <c r="F15" s="266"/>
      <c r="G15" s="287"/>
      <c r="H15" s="266"/>
      <c r="I15" s="278"/>
      <c r="J15" s="278"/>
      <c r="K15" s="278"/>
      <c r="L15" s="266"/>
      <c r="M15" s="279"/>
      <c r="N15" s="266"/>
      <c r="O15" s="280"/>
      <c r="P15" s="281"/>
      <c r="Q15" s="280"/>
      <c r="R15" s="266"/>
      <c r="S15" s="278"/>
      <c r="T15" s="278"/>
      <c r="U15" s="278"/>
      <c r="V15" s="266"/>
    </row>
    <row r="16" spans="1:22" ht="15.75" customHeight="1">
      <c r="A16" s="475"/>
      <c r="B16" s="261" t="s">
        <v>47</v>
      </c>
      <c r="C16" s="287"/>
      <c r="D16" s="266"/>
      <c r="E16" s="287"/>
      <c r="F16" s="266"/>
      <c r="G16" s="287"/>
      <c r="H16" s="266"/>
      <c r="I16" s="278"/>
      <c r="J16" s="278"/>
      <c r="K16" s="278"/>
      <c r="L16" s="266"/>
      <c r="M16" s="279"/>
      <c r="N16" s="266"/>
      <c r="O16" s="280"/>
      <c r="P16" s="281"/>
      <c r="Q16" s="280"/>
      <c r="R16" s="266"/>
      <c r="S16" s="278"/>
      <c r="T16" s="278"/>
      <c r="U16" s="278"/>
      <c r="V16" s="266"/>
    </row>
    <row r="17" spans="1:22" ht="45" customHeight="1">
      <c r="A17" s="475"/>
      <c r="B17" s="260" t="s">
        <v>38</v>
      </c>
      <c r="C17" s="275"/>
      <c r="D17" s="266"/>
      <c r="E17" s="251"/>
      <c r="F17" s="266"/>
      <c r="G17" s="275"/>
      <c r="H17" s="275"/>
      <c r="I17" s="275"/>
      <c r="J17" s="275"/>
      <c r="K17" s="275"/>
      <c r="L17" s="275"/>
      <c r="M17" s="282"/>
      <c r="N17" s="282"/>
      <c r="O17" s="251"/>
      <c r="P17" s="283"/>
      <c r="Q17" s="282"/>
      <c r="R17" s="283"/>
      <c r="S17" s="282"/>
      <c r="T17" s="282"/>
      <c r="U17" s="282"/>
      <c r="V17" s="282"/>
    </row>
    <row r="18" spans="1:22" ht="15.75" customHeight="1">
      <c r="A18" s="476"/>
      <c r="B18" s="260" t="s">
        <v>5</v>
      </c>
      <c r="C18" s="273"/>
      <c r="D18" s="266"/>
      <c r="E18" s="273"/>
      <c r="F18" s="266"/>
      <c r="G18" s="273"/>
      <c r="H18" s="273"/>
      <c r="I18" s="273"/>
      <c r="J18" s="273"/>
      <c r="K18" s="273"/>
      <c r="L18" s="273"/>
      <c r="M18" s="274"/>
      <c r="N18" s="274"/>
      <c r="O18" s="273"/>
      <c r="P18" s="276"/>
      <c r="Q18" s="273"/>
      <c r="R18" s="274"/>
      <c r="S18" s="274"/>
      <c r="T18" s="274"/>
      <c r="U18" s="274"/>
      <c r="V18" s="274"/>
    </row>
  </sheetData>
  <mergeCells count="14">
    <mergeCell ref="O3:P3"/>
    <mergeCell ref="Q3:R3"/>
    <mergeCell ref="S3:T3"/>
    <mergeCell ref="U3:V3"/>
    <mergeCell ref="C3:D3"/>
    <mergeCell ref="E3:F3"/>
    <mergeCell ref="G3:H3"/>
    <mergeCell ref="I3:J3"/>
    <mergeCell ref="K3:L3"/>
    <mergeCell ref="A3:A4"/>
    <mergeCell ref="A1:B1"/>
    <mergeCell ref="A5:A11"/>
    <mergeCell ref="A12:A18"/>
    <mergeCell ref="M3:N3"/>
  </mergeCells>
  <pageMargins left="0.25" right="0.25" top="0.75" bottom="0.75" header="0.3" footer="0.3"/>
  <pageSetup paperSize="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7"/>
  <sheetViews>
    <sheetView topLeftCell="A4" workbookViewId="0">
      <selection activeCell="K30" sqref="K30"/>
    </sheetView>
  </sheetViews>
  <sheetFormatPr baseColWidth="10" defaultRowHeight="15"/>
  <cols>
    <col min="2" max="2" width="24.28515625" customWidth="1"/>
    <col min="3" max="3" width="14.5703125" customWidth="1"/>
    <col min="4" max="5" width="14.140625" customWidth="1"/>
    <col min="7" max="7" width="15.140625" customWidth="1"/>
  </cols>
  <sheetData>
    <row r="2" spans="2:8" ht="19.5">
      <c r="B2" s="504" t="s">
        <v>73</v>
      </c>
      <c r="C2" s="505"/>
      <c r="D2" s="505"/>
      <c r="E2" s="505"/>
      <c r="F2" s="505"/>
      <c r="G2" s="505"/>
      <c r="H2" s="505"/>
    </row>
    <row r="3" spans="2:8">
      <c r="B3" s="2"/>
      <c r="C3" s="2"/>
      <c r="D3" s="2"/>
      <c r="E3" s="2"/>
    </row>
    <row r="4" spans="2:8" ht="30">
      <c r="B4" s="147"/>
      <c r="C4" s="148" t="s">
        <v>74</v>
      </c>
      <c r="D4" s="148" t="s">
        <v>75</v>
      </c>
      <c r="E4" s="152" t="s">
        <v>24</v>
      </c>
      <c r="F4" s="153" t="s">
        <v>107</v>
      </c>
      <c r="G4" s="154" t="s">
        <v>62</v>
      </c>
      <c r="H4" s="154" t="s">
        <v>108</v>
      </c>
    </row>
    <row r="5" spans="2:8">
      <c r="B5" s="3"/>
      <c r="C5" s="149"/>
      <c r="D5" s="149"/>
      <c r="E5" s="150"/>
      <c r="F5" s="155">
        <f>E5*15</f>
        <v>0</v>
      </c>
      <c r="G5" s="164"/>
      <c r="H5" s="164"/>
    </row>
    <row r="6" spans="2:8">
      <c r="B6" s="3"/>
      <c r="C6" s="10"/>
      <c r="D6" s="149"/>
      <c r="E6" s="150"/>
      <c r="F6" s="155">
        <f t="shared" ref="F6:F26" si="0">E6*15</f>
        <v>0</v>
      </c>
      <c r="G6" s="164"/>
      <c r="H6" s="164"/>
    </row>
    <row r="7" spans="2:8">
      <c r="B7" s="3"/>
      <c r="C7" s="10"/>
      <c r="D7" s="149"/>
      <c r="E7" s="150"/>
      <c r="F7" s="155">
        <f t="shared" si="0"/>
        <v>0</v>
      </c>
      <c r="G7" s="164"/>
      <c r="H7" s="164"/>
    </row>
    <row r="8" spans="2:8">
      <c r="B8" s="3"/>
      <c r="C8" s="149"/>
      <c r="D8" s="149"/>
      <c r="E8" s="150"/>
      <c r="F8" s="155">
        <f t="shared" si="0"/>
        <v>0</v>
      </c>
      <c r="G8" s="164"/>
      <c r="H8" s="164"/>
    </row>
    <row r="9" spans="2:8">
      <c r="B9" s="3"/>
      <c r="C9" s="149"/>
      <c r="D9" s="149"/>
      <c r="E9" s="150"/>
      <c r="F9" s="155">
        <f t="shared" si="0"/>
        <v>0</v>
      </c>
      <c r="G9" s="164"/>
      <c r="H9" s="164"/>
    </row>
    <row r="10" spans="2:8">
      <c r="B10" s="3"/>
      <c r="C10" s="149"/>
      <c r="D10" s="149"/>
      <c r="E10" s="150"/>
      <c r="F10" s="155">
        <f t="shared" si="0"/>
        <v>0</v>
      </c>
      <c r="G10" s="164"/>
      <c r="H10" s="164"/>
    </row>
    <row r="11" spans="2:8">
      <c r="B11" s="3"/>
      <c r="C11" s="10"/>
      <c r="D11" s="149"/>
      <c r="E11" s="150"/>
      <c r="F11" s="155">
        <f t="shared" si="0"/>
        <v>0</v>
      </c>
      <c r="G11" s="164"/>
      <c r="H11" s="164"/>
    </row>
    <row r="12" spans="2:8">
      <c r="B12" s="3"/>
      <c r="C12" s="149"/>
      <c r="D12" s="149"/>
      <c r="E12" s="150"/>
      <c r="F12" s="155">
        <f t="shared" si="0"/>
        <v>0</v>
      </c>
      <c r="G12" s="164"/>
      <c r="H12" s="164"/>
    </row>
    <row r="13" spans="2:8">
      <c r="B13" s="3"/>
      <c r="C13" s="149"/>
      <c r="D13" s="149"/>
      <c r="E13" s="150"/>
      <c r="F13" s="155">
        <f t="shared" si="0"/>
        <v>0</v>
      </c>
      <c r="G13" s="164"/>
      <c r="H13" s="164"/>
    </row>
    <row r="14" spans="2:8">
      <c r="B14" s="3"/>
      <c r="C14" s="149"/>
      <c r="D14" s="149"/>
      <c r="E14" s="150"/>
      <c r="F14" s="155">
        <f t="shared" si="0"/>
        <v>0</v>
      </c>
      <c r="G14" s="164"/>
      <c r="H14" s="164"/>
    </row>
    <row r="15" spans="2:8">
      <c r="B15" s="3"/>
      <c r="C15" s="149"/>
      <c r="D15" s="149"/>
      <c r="E15" s="150"/>
      <c r="F15" s="155">
        <f t="shared" si="0"/>
        <v>0</v>
      </c>
      <c r="G15" s="164"/>
      <c r="H15" s="164"/>
    </row>
    <row r="16" spans="2:8">
      <c r="B16" s="3"/>
      <c r="C16" s="149"/>
      <c r="D16" s="149"/>
      <c r="E16" s="150"/>
      <c r="F16" s="155">
        <f t="shared" si="0"/>
        <v>0</v>
      </c>
      <c r="G16" s="164"/>
      <c r="H16" s="164"/>
    </row>
    <row r="17" spans="2:8">
      <c r="B17" s="3"/>
      <c r="C17" s="149"/>
      <c r="D17" s="149"/>
      <c r="E17" s="150"/>
      <c r="F17" s="155">
        <f t="shared" si="0"/>
        <v>0</v>
      </c>
      <c r="G17" s="164"/>
      <c r="H17" s="164"/>
    </row>
    <row r="18" spans="2:8">
      <c r="B18" s="3"/>
      <c r="C18" s="4"/>
      <c r="D18" s="149"/>
      <c r="E18" s="150"/>
      <c r="F18" s="155">
        <f>E18*15</f>
        <v>0</v>
      </c>
      <c r="G18" s="164"/>
      <c r="H18" s="166"/>
    </row>
    <row r="19" spans="2:8">
      <c r="B19" s="3"/>
      <c r="C19" s="149"/>
      <c r="D19" s="149"/>
      <c r="E19" s="150"/>
      <c r="F19" s="155">
        <f t="shared" ref="F19:F25" si="1">E19*15</f>
        <v>0</v>
      </c>
      <c r="G19" s="164"/>
      <c r="H19" s="164"/>
    </row>
    <row r="20" spans="2:8">
      <c r="B20" s="3"/>
      <c r="C20" s="149"/>
      <c r="D20" s="149"/>
      <c r="E20" s="150"/>
      <c r="F20" s="155">
        <f t="shared" si="1"/>
        <v>0</v>
      </c>
      <c r="G20" s="164"/>
      <c r="H20" s="164"/>
    </row>
    <row r="21" spans="2:8">
      <c r="B21" s="3"/>
      <c r="C21" s="149"/>
      <c r="D21" s="149"/>
      <c r="E21" s="150"/>
      <c r="F21" s="155">
        <f t="shared" si="1"/>
        <v>0</v>
      </c>
      <c r="G21" s="164"/>
      <c r="H21" s="166"/>
    </row>
    <row r="22" spans="2:8">
      <c r="B22" s="3"/>
      <c r="C22" s="149"/>
      <c r="D22" s="149"/>
      <c r="E22" s="150"/>
      <c r="F22" s="155">
        <f t="shared" si="1"/>
        <v>0</v>
      </c>
      <c r="G22" s="164"/>
      <c r="H22" s="164"/>
    </row>
    <row r="23" spans="2:8">
      <c r="B23" s="3"/>
      <c r="C23" s="149"/>
      <c r="D23" s="149"/>
      <c r="E23" s="150"/>
      <c r="F23" s="155">
        <f t="shared" si="1"/>
        <v>0</v>
      </c>
      <c r="G23" s="164"/>
      <c r="H23" s="164"/>
    </row>
    <row r="24" spans="2:8">
      <c r="B24" s="3"/>
      <c r="C24" s="149"/>
      <c r="D24" s="149"/>
      <c r="E24" s="150"/>
      <c r="F24" s="155">
        <f t="shared" si="1"/>
        <v>0</v>
      </c>
      <c r="G24" s="164"/>
      <c r="H24" s="164"/>
    </row>
    <row r="25" spans="2:8">
      <c r="B25" s="3"/>
      <c r="C25" s="149"/>
      <c r="D25" s="149"/>
      <c r="E25" s="150"/>
      <c r="F25" s="155">
        <f t="shared" si="1"/>
        <v>0</v>
      </c>
      <c r="G25" s="164"/>
      <c r="H25" s="164"/>
    </row>
    <row r="26" spans="2:8">
      <c r="B26" s="3"/>
      <c r="C26" s="149"/>
      <c r="D26" s="149"/>
      <c r="E26" s="150"/>
      <c r="F26" s="155">
        <f t="shared" si="0"/>
        <v>0</v>
      </c>
      <c r="G26" s="164"/>
      <c r="H26" s="164"/>
    </row>
    <row r="27" spans="2:8">
      <c r="B27" s="157"/>
      <c r="C27" s="158">
        <f>SUM(C5:C26)</f>
        <v>0</v>
      </c>
      <c r="D27" s="158">
        <f>SUM(D5:D26)</f>
        <v>0</v>
      </c>
      <c r="E27" s="150">
        <f>SUM(E5:E26)</f>
        <v>0</v>
      </c>
      <c r="F27" s="155">
        <f>SUM(F5:F20)</f>
        <v>0</v>
      </c>
      <c r="G27" s="164"/>
      <c r="H27" s="156"/>
    </row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BILAN</vt:lpstr>
      <vt:lpstr>RECAP.JEUNES.2026</vt:lpstr>
      <vt:lpstr>HIVER.RECAPJ</vt:lpstr>
      <vt:lpstr>HIVER.MISSION</vt:lpstr>
      <vt:lpstr>AVRIL.MISSIONS</vt:lpstr>
      <vt:lpstr>AVRIL.RECAPJ</vt:lpstr>
      <vt:lpstr>ETE.MISSION</vt:lpstr>
      <vt:lpstr>ETE.RECAPJ</vt:lpstr>
      <vt:lpstr>OCTOBRE.MISSION</vt:lpstr>
      <vt:lpstr>OCTOBRE.RECAPJ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mda1</dc:creator>
  <cp:lastModifiedBy>Noémie GAMBLIN</cp:lastModifiedBy>
  <cp:lastPrinted>2026-06-23T14:46:14Z</cp:lastPrinted>
  <dcterms:created xsi:type="dcterms:W3CDTF">2018-10-15T07:22:25Z</dcterms:created>
  <dcterms:modified xsi:type="dcterms:W3CDTF">2026-06-24T10:47:32Z</dcterms:modified>
</cp:coreProperties>
</file>